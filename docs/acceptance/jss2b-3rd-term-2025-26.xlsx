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JSS2B 3rd term"/>
  </sheets>
  <definedNames/>
  <calcPr/>
</workbook>
</file>

<file path=xl/sharedStrings.xml><?xml version="1.0" encoding="utf-8"?>
<sst xmlns="http://schemas.openxmlformats.org/spreadsheetml/2006/main">
  <si>
    <t>Greenfield Academy · JSS2B · 3rd Term 2025/2026 — spreadsheet check (formulas) vs the app</t>
  </si>
  <si>
    <t>English Language</t>
  </si>
  <si>
    <t>Mathematics</t>
  </si>
  <si>
    <t>Basic Science</t>
  </si>
  <si>
    <t>Basic Technology</t>
  </si>
  <si>
    <t>Social Studies</t>
  </si>
  <si>
    <t>Civic Education</t>
  </si>
  <si>
    <t>Yoruba</t>
  </si>
  <si>
    <t>Business Studies</t>
  </si>
  <si>
    <t>Class result (spreadsheet)</t>
  </si>
  <si>
    <t>The app</t>
  </si>
  <si>
    <t>Student</t>
  </si>
  <si>
    <t>CA /40</t>
  </si>
  <si>
    <t>Exam /60</t>
  </si>
  <si>
    <t>Total</t>
  </si>
  <si>
    <t>Grade</t>
  </si>
  <si>
    <t>Pos</t>
  </si>
  <si>
    <t>Average</t>
  </si>
  <si>
    <t>Position</t>
  </si>
  <si>
    <t>Agrees?</t>
  </si>
  <si>
    <t>Abdulrahman Bello</t>
  </si>
  <si>
    <t>Adaeze Umeh</t>
  </si>
  <si>
    <t>Aisha Mohammed</t>
  </si>
  <si>
    <t>Amarachi Iwu</t>
  </si>
  <si>
    <t>Babatunde Salami</t>
  </si>
  <si>
    <t>Blessing Udo</t>
  </si>
  <si>
    <t>Bukola Fashola</t>
  </si>
  <si>
    <t>Chiamaka Okafor</t>
  </si>
  <si>
    <t>Chinedu Anyanwu</t>
  </si>
  <si>
    <t>Chioma Nnaji</t>
  </si>
  <si>
    <t>Chukwudi Okeke</t>
  </si>
  <si>
    <t>Damilola Ajayi</t>
  </si>
  <si>
    <t>Emeka Nwosu</t>
  </si>
  <si>
    <t>Esther Okon</t>
  </si>
  <si>
    <t>Fatima Lawal</t>
  </si>
  <si>
    <t>Funke Akinola</t>
  </si>
  <si>
    <t>Halima Garba</t>
  </si>
  <si>
    <t>Hauwa Idris</t>
  </si>
  <si>
    <t>Ibrahim Sani</t>
  </si>
  <si>
    <t>Ifeanyi Obi</t>
  </si>
  <si>
    <t>Kayode Adebisi</t>
  </si>
  <si>
    <t>Kelechi Onyeka</t>
  </si>
  <si>
    <t>Mariam Aliyu</t>
  </si>
  <si>
    <t>Musa Abubakar</t>
  </si>
  <si>
    <t>Ngozi Eze</t>
  </si>
  <si>
    <t>Nkechi Agu</t>
  </si>
  <si>
    <t>Obinna Chukwu</t>
  </si>
  <si>
    <t>Oluwaseun Adeyemi</t>
  </si>
  <si>
    <t>Rukayat Olatunji</t>
  </si>
  <si>
    <t>Samuel Etim</t>
  </si>
  <si>
    <t>Segun Oladipo</t>
  </si>
  <si>
    <t>Temitope Balogun</t>
  </si>
  <si>
    <t>Tobiloba Ogunleye</t>
  </si>
  <si>
    <t>Tunde Bakare</t>
  </si>
  <si>
    <t>Uche Ibe</t>
  </si>
  <si>
    <t>Victor Ekpo</t>
  </si>
  <si>
    <t>Yetunde Oyelaran</t>
  </si>
  <si>
    <t>Zainab Yusuf</t>
  </si>
  <si>
    <t>Class average</t>
  </si>
  <si>
    <t>Highest</t>
  </si>
  <si>
    <t>Lowest</t>
  </si>
</sst>
</file>

<file path=xl/styles.xml><?xml version="1.0" encoding="utf-8"?>
<styleSheet xmlns="http://schemas.openxmlformats.org/spreadsheetml/2006/main">
  <numFmts count="1">
    <numFmt numFmtId="100" formatCode="0.0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3" xSplit="1" topLeftCell="B4" activePane="bottomRight" state="frozen"/>
    </sheetView>
  </sheetViews>
  <cols>
    <col min="1" max="1" width="22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>
      <c r="B2" s="1" t="s">
        <v>1</v>
      </c>
      <c r="C2" s="1"/>
      <c r="D2" s="1"/>
      <c r="E2" s="1"/>
      <c r="F2" s="1"/>
      <c r="G2" s="1" t="s">
        <v>2</v>
      </c>
      <c r="H2" s="1"/>
      <c r="I2" s="1"/>
      <c r="J2" s="1"/>
      <c r="K2" s="1"/>
      <c r="L2" s="1" t="s">
        <v>3</v>
      </c>
      <c r="M2" s="1"/>
      <c r="N2" s="1"/>
      <c r="O2" s="1"/>
      <c r="P2" s="1"/>
      <c r="Q2" s="1" t="s">
        <v>4</v>
      </c>
      <c r="R2" s="1"/>
      <c r="S2" s="1"/>
      <c r="T2" s="1"/>
      <c r="U2" s="1"/>
      <c r="V2" s="1" t="s">
        <v>5</v>
      </c>
      <c r="W2" s="1"/>
      <c r="X2" s="1"/>
      <c r="Y2" s="1"/>
      <c r="Z2" s="1"/>
      <c r="AA2" s="1" t="s">
        <v>6</v>
      </c>
      <c r="AB2" s="1"/>
      <c r="AC2" s="1"/>
      <c r="AD2" s="1"/>
      <c r="AE2" s="1"/>
      <c r="AF2" s="1" t="s">
        <v>7</v>
      </c>
      <c r="AG2" s="1"/>
      <c r="AH2" s="1"/>
      <c r="AI2" s="1"/>
      <c r="AJ2" s="1"/>
      <c r="AK2" s="1" t="s">
        <v>8</v>
      </c>
      <c r="AL2" s="1"/>
      <c r="AM2" s="1"/>
      <c r="AN2" s="1"/>
      <c r="AO2" s="1"/>
      <c r="AP2" s="1" t="s">
        <v>9</v>
      </c>
      <c r="AQ2" s="1"/>
      <c r="AR2" s="1"/>
      <c r="AS2" s="1" t="s">
        <v>10</v>
      </c>
      <c r="AT2" s="1"/>
      <c r="AU2" s="1"/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12</v>
      </c>
      <c r="R3" s="1" t="s">
        <v>13</v>
      </c>
      <c r="S3" s="1" t="s">
        <v>14</v>
      </c>
      <c r="T3" s="1" t="s">
        <v>15</v>
      </c>
      <c r="U3" s="1" t="s">
        <v>16</v>
      </c>
      <c r="V3" s="1" t="s">
        <v>12</v>
      </c>
      <c r="W3" s="1" t="s">
        <v>13</v>
      </c>
      <c r="X3" s="1" t="s">
        <v>14</v>
      </c>
      <c r="Y3" s="1" t="s">
        <v>15</v>
      </c>
      <c r="Z3" s="1" t="s">
        <v>16</v>
      </c>
      <c r="AA3" s="1" t="s">
        <v>12</v>
      </c>
      <c r="AB3" s="1" t="s">
        <v>13</v>
      </c>
      <c r="AC3" s="1" t="s">
        <v>14</v>
      </c>
      <c r="AD3" s="1" t="s">
        <v>15</v>
      </c>
      <c r="AE3" s="1" t="s">
        <v>16</v>
      </c>
      <c r="AF3" s="1" t="s">
        <v>12</v>
      </c>
      <c r="AG3" s="1" t="s">
        <v>13</v>
      </c>
      <c r="AH3" s="1" t="s">
        <v>14</v>
      </c>
      <c r="AI3" s="1" t="s">
        <v>15</v>
      </c>
      <c r="AJ3" s="1" t="s">
        <v>16</v>
      </c>
      <c r="AK3" s="1" t="s">
        <v>12</v>
      </c>
      <c r="AL3" s="1" t="s">
        <v>13</v>
      </c>
      <c r="AM3" s="1" t="s">
        <v>14</v>
      </c>
      <c r="AN3" s="1" t="s">
        <v>15</v>
      </c>
      <c r="AO3" s="1" t="s">
        <v>16</v>
      </c>
      <c r="AP3" s="1" t="s">
        <v>14</v>
      </c>
      <c r="AQ3" s="1" t="s">
        <v>17</v>
      </c>
      <c r="AR3" s="1" t="s">
        <v>18</v>
      </c>
      <c r="AS3" s="1" t="s">
        <v>14</v>
      </c>
      <c r="AT3" s="1" t="s">
        <v>17</v>
      </c>
      <c r="AU3" s="1" t="s">
        <v>18</v>
      </c>
      <c r="AV3" s="1" t="s">
        <v>19</v>
      </c>
    </row>
    <row r="4">
      <c r="A4" t="s">
        <v>20</v>
      </c>
      <c r="B4">
        <v>32</v>
      </c>
      <c r="C4">
        <v>48</v>
      </c>
      <c r="D4">
        <f>SUM(B4:C4)</f>
      </c>
      <c r="E4">
        <f>LOOKUP(D4,{0,40,45,50,55,60,65,70,75},{"F9","E8","D7","C6","C5","C4","B3","B2","A1"})</f>
      </c>
      <c r="F4">
        <f>RANK(D4,$D$4:$D$41,0)</f>
      </c>
      <c r="G4">
        <v>36</v>
      </c>
      <c r="H4">
        <v>54</v>
      </c>
      <c r="I4">
        <f>SUM(G4:H4)</f>
      </c>
      <c r="J4">
        <f>LOOKUP(I4,{0,40,45,50,55,60,65,70,75},{"F9","E8","D7","C6","C5","C4","B3","B2","A1"})</f>
      </c>
      <c r="K4">
        <f>RANK(I4,$I$4:$I$41,0)</f>
      </c>
      <c r="L4">
        <v>32</v>
      </c>
      <c r="M4">
        <v>47</v>
      </c>
      <c r="N4">
        <f>SUM(L4:M4)</f>
      </c>
      <c r="O4">
        <f>LOOKUP(N4,{0,40,45,50,55,60,65,70,75},{"F9","E8","D7","C6","C5","C4","B3","B2","A1"})</f>
      </c>
      <c r="P4">
        <f>RANK(N4,$N$4:$N$41,0)</f>
      </c>
      <c r="Q4">
        <v>28</v>
      </c>
      <c r="R4">
        <v>42</v>
      </c>
      <c r="S4">
        <f>SUM(Q4:R4)</f>
      </c>
      <c r="T4">
        <f>LOOKUP(S4,{0,40,45,50,55,60,65,70,75},{"F9","E8","D7","C6","C5","C4","B3","B2","A1"})</f>
      </c>
      <c r="U4">
        <f>RANK(S4,$S$4:$S$41,0)</f>
      </c>
      <c r="V4">
        <v>34</v>
      </c>
      <c r="W4">
        <v>52</v>
      </c>
      <c r="X4">
        <f>SUM(V4:W4)</f>
      </c>
      <c r="Y4">
        <f>LOOKUP(X4,{0,40,45,50,55,60,65,70,75},{"F9","E8","D7","C6","C5","C4","B3","B2","A1"})</f>
      </c>
      <c r="Z4">
        <f>RANK(X4,$X$4:$X$41,0)</f>
      </c>
      <c r="AA4">
        <v>32</v>
      </c>
      <c r="AB4">
        <v>49</v>
      </c>
      <c r="AC4">
        <f>SUM(AA4:AB4)</f>
      </c>
      <c r="AD4">
        <f>LOOKUP(AC4,{0,40,45,50,55,60,65,70,75},{"F9","E8","D7","C6","C5","C4","B3","B2","A1"})</f>
      </c>
      <c r="AE4">
        <f>RANK(AC4,$AC$4:$AC$41,0)</f>
      </c>
      <c r="AF4">
        <v>26</v>
      </c>
      <c r="AG4">
        <v>40</v>
      </c>
      <c r="AH4">
        <f>SUM(AF4:AG4)</f>
      </c>
      <c r="AI4">
        <f>LOOKUP(AH4,{0,40,45,50,55,60,65,70,75},{"F9","E8","D7","C6","C5","C4","B3","B2","A1"})</f>
      </c>
      <c r="AJ4">
        <f>RANK(AH4,$AH$4:$AH$41,0)</f>
      </c>
      <c r="AK4">
        <v>33</v>
      </c>
      <c r="AL4">
        <v>50</v>
      </c>
      <c r="AM4">
        <f>SUM(AK4:AL4)</f>
      </c>
      <c r="AN4">
        <f>LOOKUP(AM4,{0,40,45,50,55,60,65,70,75},{"F9","E8","D7","C6","C5","C4","B3","B2","A1"})</f>
      </c>
      <c r="AO4">
        <f>RANK(AM4,$AM$4:$AM$41,0)</f>
      </c>
      <c r="AP4">
        <f>SUM(D4,I4,N4,S4,X4,AC4,AH4,AM4)</f>
      </c>
      <c r="AQ4" s="2">
        <f>AVERAGE(D4,I4,N4,S4,X4,AC4,AH4,AM4)</f>
      </c>
      <c r="AR4">
        <f>RANK(AQ4,$AQ$4:$AQ$41,0)</f>
      </c>
      <c r="AS4">
        <v>635</v>
      </c>
      <c r="AT4" s="2">
        <v>79.4</v>
      </c>
      <c r="AU4">
        <v>5</v>
      </c>
      <c r="AV4">
        <f>IF(AND(AP4=AS4,ROUND(AQ4,1)=AT4,AR4=AU4),"✓","✗")</f>
      </c>
    </row>
    <row r="5">
      <c r="A5" t="s">
        <v>21</v>
      </c>
      <c r="B5">
        <v>22</v>
      </c>
      <c r="C5">
        <v>33</v>
      </c>
      <c r="D5">
        <f>SUM(B5:C5)</f>
      </c>
      <c r="E5">
        <f>LOOKUP(D5,{0,40,45,50,55,60,65,70,75},{"F9","E8","D7","C6","C5","C4","B3","B2","A1"})</f>
      </c>
      <c r="F5">
        <f>RANK(D5,$D$4:$D$41,0)</f>
      </c>
      <c r="G5">
        <v>18</v>
      </c>
      <c r="H5">
        <v>26</v>
      </c>
      <c r="I5">
        <f>SUM(G5:H5)</f>
      </c>
      <c r="J5">
        <f>LOOKUP(I5,{0,40,45,50,55,60,65,70,75},{"F9","E8","D7","C6","C5","C4","B3","B2","A1"})</f>
      </c>
      <c r="K5">
        <f>RANK(I5,$I$4:$I$41,0)</f>
      </c>
      <c r="L5">
        <v>26</v>
      </c>
      <c r="M5">
        <v>38</v>
      </c>
      <c r="N5">
        <f>SUM(L5:M5)</f>
      </c>
      <c r="O5">
        <f>LOOKUP(N5,{0,40,45,50,55,60,65,70,75},{"F9","E8","D7","C6","C5","C4","B3","B2","A1"})</f>
      </c>
      <c r="P5">
        <f>RANK(N5,$N$4:$N$41,0)</f>
      </c>
      <c r="Q5">
        <v>20</v>
      </c>
      <c r="R5">
        <v>29</v>
      </c>
      <c r="S5">
        <f>SUM(Q5:R5)</f>
      </c>
      <c r="T5">
        <f>LOOKUP(S5,{0,40,45,50,55,60,65,70,75},{"F9","E8","D7","C6","C5","C4","B3","B2","A1"})</f>
      </c>
      <c r="U5">
        <f>RANK(S5,$S$4:$S$41,0)</f>
      </c>
      <c r="V5">
        <v>27</v>
      </c>
      <c r="W5">
        <v>40</v>
      </c>
      <c r="X5">
        <f>SUM(V5:W5)</f>
      </c>
      <c r="Y5">
        <f>LOOKUP(X5,{0,40,45,50,55,60,65,70,75},{"F9","E8","D7","C6","C5","C4","B3","B2","A1"})</f>
      </c>
      <c r="Z5">
        <f>RANK(X5,$X$4:$X$41,0)</f>
      </c>
      <c r="AA5">
        <v>20</v>
      </c>
      <c r="AB5">
        <v>31</v>
      </c>
      <c r="AC5">
        <f>SUM(AA5:AB5)</f>
      </c>
      <c r="AD5">
        <f>LOOKUP(AC5,{0,40,45,50,55,60,65,70,75},{"F9","E8","D7","C6","C5","C4","B3","B2","A1"})</f>
      </c>
      <c r="AE5">
        <f>RANK(AC5,$AC$4:$AC$41,0)</f>
      </c>
      <c r="AF5">
        <v>22</v>
      </c>
      <c r="AG5">
        <v>32</v>
      </c>
      <c r="AH5">
        <f>SUM(AF5:AG5)</f>
      </c>
      <c r="AI5">
        <f>LOOKUP(AH5,{0,40,45,50,55,60,65,70,75},{"F9","E8","D7","C6","C5","C4","B3","B2","A1"})</f>
      </c>
      <c r="AJ5">
        <f>RANK(AH5,$AH$4:$AH$41,0)</f>
      </c>
      <c r="AK5">
        <v>20</v>
      </c>
      <c r="AL5">
        <v>30</v>
      </c>
      <c r="AM5">
        <f>SUM(AK5:AL5)</f>
      </c>
      <c r="AN5">
        <f>LOOKUP(AM5,{0,40,45,50,55,60,65,70,75},{"F9","E8","D7","C6","C5","C4","B3","B2","A1"})</f>
      </c>
      <c r="AO5">
        <f>RANK(AM5,$AM$4:$AM$41,0)</f>
      </c>
      <c r="AP5">
        <f>SUM(D5,I5,N5,S5,X5,AC5,AH5,AM5)</f>
      </c>
      <c r="AQ5" s="2">
        <f>AVERAGE(D5,I5,N5,S5,X5,AC5,AH5,AM5)</f>
      </c>
      <c r="AR5">
        <f>RANK(AQ5,$AQ$4:$AQ$41,0)</f>
      </c>
      <c r="AS5">
        <v>434</v>
      </c>
      <c r="AT5" s="2">
        <v>54.3</v>
      </c>
      <c r="AU5">
        <v>31</v>
      </c>
      <c r="AV5">
        <f>IF(AND(AP5=AS5,ROUND(AQ5,1)=AT5,AR5=AU5),"✓","✗")</f>
      </c>
    </row>
    <row r="6">
      <c r="A6" t="s">
        <v>22</v>
      </c>
      <c r="B6">
        <v>34</v>
      </c>
      <c r="C6">
        <v>50</v>
      </c>
      <c r="D6">
        <f>SUM(B6:C6)</f>
      </c>
      <c r="E6">
        <f>LOOKUP(D6,{0,40,45,50,55,60,65,70,75},{"F9","E8","D7","C6","C5","C4","B3","B2","A1"})</f>
      </c>
      <c r="F6">
        <f>RANK(D6,$D$4:$D$41,0)</f>
      </c>
      <c r="G6">
        <v>38</v>
      </c>
      <c r="H6">
        <v>56</v>
      </c>
      <c r="I6">
        <f>SUM(G6:H6)</f>
      </c>
      <c r="J6">
        <f>LOOKUP(I6,{0,40,45,50,55,60,65,70,75},{"F9","E8","D7","C6","C5","C4","B3","B2","A1"})</f>
      </c>
      <c r="K6">
        <f>RANK(I6,$I$4:$I$41,0)</f>
      </c>
      <c r="L6">
        <v>33</v>
      </c>
      <c r="M6">
        <v>50</v>
      </c>
      <c r="N6">
        <f>SUM(L6:M6)</f>
      </c>
      <c r="O6">
        <f>LOOKUP(N6,{0,40,45,50,55,60,65,70,75},{"F9","E8","D7","C6","C5","C4","B3","B2","A1"})</f>
      </c>
      <c r="P6">
        <f>RANK(N6,$N$4:$N$41,0)</f>
      </c>
      <c r="Q6">
        <v>30</v>
      </c>
      <c r="R6">
        <v>44</v>
      </c>
      <c r="S6">
        <f>SUM(Q6:R6)</f>
      </c>
      <c r="T6">
        <f>LOOKUP(S6,{0,40,45,50,55,60,65,70,75},{"F9","E8","D7","C6","C5","C4","B3","B2","A1"})</f>
      </c>
      <c r="U6">
        <f>RANK(S6,$S$4:$S$41,0)</f>
      </c>
      <c r="V6">
        <v>36</v>
      </c>
      <c r="W6">
        <v>54</v>
      </c>
      <c r="X6">
        <f>SUM(V6:W6)</f>
      </c>
      <c r="Y6">
        <f>LOOKUP(X6,{0,40,45,50,55,60,65,70,75},{"F9","E8","D7","C6","C5","C4","B3","B2","A1"})</f>
      </c>
      <c r="Z6">
        <f>RANK(X6,$X$4:$X$41,0)</f>
      </c>
      <c r="AA6">
        <v>34</v>
      </c>
      <c r="AB6">
        <v>51</v>
      </c>
      <c r="AC6">
        <f>SUM(AA6:AB6)</f>
      </c>
      <c r="AD6">
        <f>LOOKUP(AC6,{0,40,45,50,55,60,65,70,75},{"F9","E8","D7","C6","C5","C4","B3","B2","A1"})</f>
      </c>
      <c r="AE6">
        <f>RANK(AC6,$AC$4:$AC$41,0)</f>
      </c>
      <c r="AF6">
        <v>28</v>
      </c>
      <c r="AG6">
        <v>42</v>
      </c>
      <c r="AH6">
        <f>SUM(AF6:AG6)</f>
      </c>
      <c r="AI6">
        <f>LOOKUP(AH6,{0,40,45,50,55,60,65,70,75},{"F9","E8","D7","C6","C5","C4","B3","B2","A1"})</f>
      </c>
      <c r="AJ6">
        <f>RANK(AH6,$AH$4:$AH$41,0)</f>
      </c>
      <c r="AK6">
        <v>35</v>
      </c>
      <c r="AL6">
        <v>52</v>
      </c>
      <c r="AM6">
        <f>SUM(AK6:AL6)</f>
      </c>
      <c r="AN6">
        <f>LOOKUP(AM6,{0,40,45,50,55,60,65,70,75},{"F9","E8","D7","C6","C5","C4","B3","B2","A1"})</f>
      </c>
      <c r="AO6">
        <f>RANK(AM6,$AM$4:$AM$41,0)</f>
      </c>
      <c r="AP6">
        <f>SUM(D6,I6,N6,S6,X6,AC6,AH6,AM6)</f>
      </c>
      <c r="AQ6" s="2">
        <f>AVERAGE(D6,I6,N6,S6,X6,AC6,AH6,AM6)</f>
      </c>
      <c r="AR6">
        <f>RANK(AQ6,$AQ$4:$AQ$41,0)</f>
      </c>
      <c r="AS6">
        <v>667</v>
      </c>
      <c r="AT6" s="2">
        <v>83.4</v>
      </c>
      <c r="AU6">
        <v>1</v>
      </c>
      <c r="AV6">
        <f>IF(AND(AP6=AS6,ROUND(AQ6,1)=AT6,AR6=AU6),"✓","✗")</f>
      </c>
    </row>
    <row r="7">
      <c r="A7" t="s">
        <v>23</v>
      </c>
      <c r="B7">
        <v>26</v>
      </c>
      <c r="C7">
        <v>40</v>
      </c>
      <c r="D7">
        <f>SUM(B7:C7)</f>
      </c>
      <c r="E7">
        <f>LOOKUP(D7,{0,40,45,50,55,60,65,70,75},{"F9","E8","D7","C6","C5","C4","B3","B2","A1"})</f>
      </c>
      <c r="F7">
        <f>RANK(D7,$D$4:$D$41,0)</f>
      </c>
      <c r="G7">
        <v>17</v>
      </c>
      <c r="H7">
        <v>26</v>
      </c>
      <c r="I7">
        <f>SUM(G7:H7)</f>
      </c>
      <c r="J7">
        <f>LOOKUP(I7,{0,40,45,50,55,60,65,70,75},{"F9","E8","D7","C6","C5","C4","B3","B2","A1"})</f>
      </c>
      <c r="K7">
        <f>RANK(I7,$I$4:$I$41,0)</f>
      </c>
      <c r="L7">
        <v>28</v>
      </c>
      <c r="M7">
        <v>41</v>
      </c>
      <c r="N7">
        <f>SUM(L7:M7)</f>
      </c>
      <c r="O7">
        <f>LOOKUP(N7,{0,40,45,50,55,60,65,70,75},{"F9","E8","D7","C6","C5","C4","B3","B2","A1"})</f>
      </c>
      <c r="P7">
        <f>RANK(N7,$N$4:$N$41,0)</f>
      </c>
      <c r="Q7">
        <v>24</v>
      </c>
      <c r="R7">
        <v>37</v>
      </c>
      <c r="S7">
        <f>SUM(Q7:R7)</f>
      </c>
      <c r="T7">
        <f>LOOKUP(S7,{0,40,45,50,55,60,65,70,75},{"F9","E8","D7","C6","C5","C4","B3","B2","A1"})</f>
      </c>
      <c r="U7">
        <f>RANK(S7,$S$4:$S$41,0)</f>
      </c>
      <c r="V7">
        <v>23</v>
      </c>
      <c r="W7">
        <v>35</v>
      </c>
      <c r="X7">
        <f>SUM(V7:W7)</f>
      </c>
      <c r="Y7">
        <f>LOOKUP(X7,{0,40,45,50,55,60,65,70,75},{"F9","E8","D7","C6","C5","C4","B3","B2","A1"})</f>
      </c>
      <c r="Z7">
        <f>RANK(X7,$X$4:$X$41,0)</f>
      </c>
      <c r="AA7">
        <v>26</v>
      </c>
      <c r="AB7">
        <v>40</v>
      </c>
      <c r="AC7">
        <f>SUM(AA7:AB7)</f>
      </c>
      <c r="AD7">
        <f>LOOKUP(AC7,{0,40,45,50,55,60,65,70,75},{"F9","E8","D7","C6","C5","C4","B3","B2","A1"})</f>
      </c>
      <c r="AE7">
        <f>RANK(AC7,$AC$4:$AC$41,0)</f>
      </c>
      <c r="AF7">
        <v>18</v>
      </c>
      <c r="AG7">
        <v>27</v>
      </c>
      <c r="AH7">
        <f>SUM(AF7:AG7)</f>
      </c>
      <c r="AI7">
        <f>LOOKUP(AH7,{0,40,45,50,55,60,65,70,75},{"F9","E8","D7","C6","C5","C4","B3","B2","A1"})</f>
      </c>
      <c r="AJ7">
        <f>RANK(AH7,$AH$4:$AH$41,0)</f>
      </c>
      <c r="AK7">
        <v>24</v>
      </c>
      <c r="AL7">
        <v>36</v>
      </c>
      <c r="AM7">
        <f>SUM(AK7:AL7)</f>
      </c>
      <c r="AN7">
        <f>LOOKUP(AM7,{0,40,45,50,55,60,65,70,75},{"F9","E8","D7","C6","C5","C4","B3","B2","A1"})</f>
      </c>
      <c r="AO7">
        <f>RANK(AM7,$AM$4:$AM$41,0)</f>
      </c>
      <c r="AP7">
        <f>SUM(D7,I7,N7,S7,X7,AC7,AH7,AM7)</f>
      </c>
      <c r="AQ7" s="2">
        <f>AVERAGE(D7,I7,N7,S7,X7,AC7,AH7,AM7)</f>
      </c>
      <c r="AR7">
        <f>RANK(AQ7,$AQ$4:$AQ$41,0)</f>
      </c>
      <c r="AS7">
        <v>468</v>
      </c>
      <c r="AT7" s="2">
        <v>58.5</v>
      </c>
      <c r="AU7">
        <v>11</v>
      </c>
      <c r="AV7">
        <f>IF(AND(AP7=AS7,ROUND(AQ7,1)=AT7,AR7=AU7),"✓","✗")</f>
      </c>
    </row>
    <row r="8">
      <c r="A8" t="s">
        <v>24</v>
      </c>
      <c r="B8">
        <v>28</v>
      </c>
      <c r="C8">
        <v>41</v>
      </c>
      <c r="D8">
        <f>SUM(B8:C8)</f>
      </c>
      <c r="E8">
        <f>LOOKUP(D8,{0,40,45,50,55,60,65,70,75},{"F9","E8","D7","C6","C5","C4","B3","B2","A1"})</f>
      </c>
      <c r="F8">
        <f>RANK(D8,$D$4:$D$41,0)</f>
      </c>
      <c r="G8">
        <v>22</v>
      </c>
      <c r="H8">
        <v>33</v>
      </c>
      <c r="I8">
        <f>SUM(G8:H8)</f>
      </c>
      <c r="J8">
        <f>LOOKUP(I8,{0,40,45,50,55,60,65,70,75},{"F9","E8","D7","C6","C5","C4","B3","B2","A1"})</f>
      </c>
      <c r="K8">
        <f>RANK(I8,$I$4:$I$41,0)</f>
      </c>
      <c r="L8">
        <v>28</v>
      </c>
      <c r="M8">
        <v>41</v>
      </c>
      <c r="N8">
        <f>SUM(L8:M8)</f>
      </c>
      <c r="O8">
        <f>LOOKUP(N8,{0,40,45,50,55,60,65,70,75},{"F9","E8","D7","C6","C5","C4","B3","B2","A1"})</f>
      </c>
      <c r="P8">
        <f>RANK(N8,$N$4:$N$41,0)</f>
      </c>
      <c r="Q8">
        <v>18</v>
      </c>
      <c r="R8">
        <v>26</v>
      </c>
      <c r="S8">
        <f>SUM(Q8:R8)</f>
      </c>
      <c r="T8">
        <f>LOOKUP(S8,{0,40,45,50,55,60,65,70,75},{"F9","E8","D7","C6","C5","C4","B3","B2","A1"})</f>
      </c>
      <c r="U8">
        <f>RANK(S8,$S$4:$S$41,0)</f>
      </c>
      <c r="V8">
        <v>28</v>
      </c>
      <c r="W8">
        <v>41</v>
      </c>
      <c r="X8">
        <f>SUM(V8:W8)</f>
      </c>
      <c r="Y8">
        <f>LOOKUP(X8,{0,40,45,50,55,60,65,70,75},{"F9","E8","D7","C6","C5","C4","B3","B2","A1"})</f>
      </c>
      <c r="Z8">
        <f>RANK(X8,$X$4:$X$41,0)</f>
      </c>
      <c r="AA8">
        <v>21</v>
      </c>
      <c r="AB8">
        <v>32</v>
      </c>
      <c r="AC8">
        <f>SUM(AA8:AB8)</f>
      </c>
      <c r="AD8">
        <f>LOOKUP(AC8,{0,40,45,50,55,60,65,70,75},{"F9","E8","D7","C6","C5","C4","B3","B2","A1"})</f>
      </c>
      <c r="AE8">
        <f>RANK(AC8,$AC$4:$AC$41,0)</f>
      </c>
      <c r="AF8">
        <v>24</v>
      </c>
      <c r="AG8">
        <v>35</v>
      </c>
      <c r="AH8">
        <f>SUM(AF8:AG8)</f>
      </c>
      <c r="AI8">
        <f>LOOKUP(AH8,{0,40,45,50,55,60,65,70,75},{"F9","E8","D7","C6","C5","C4","B3","B2","A1"})</f>
      </c>
      <c r="AJ8">
        <f>RANK(AH8,$AH$4:$AH$41,0)</f>
      </c>
      <c r="AK8">
        <v>21</v>
      </c>
      <c r="AL8">
        <v>32</v>
      </c>
      <c r="AM8">
        <f>SUM(AK8:AL8)</f>
      </c>
      <c r="AN8">
        <f>LOOKUP(AM8,{0,40,45,50,55,60,65,70,75},{"F9","E8","D7","C6","C5","C4","B3","B2","A1"})</f>
      </c>
      <c r="AO8">
        <f>RANK(AM8,$AM$4:$AM$41,0)</f>
      </c>
      <c r="AP8">
        <f>SUM(D8,I8,N8,S8,X8,AC8,AH8,AM8)</f>
      </c>
      <c r="AQ8" s="2">
        <f>AVERAGE(D8,I8,N8,S8,X8,AC8,AH8,AM8)</f>
      </c>
      <c r="AR8">
        <f>RANK(AQ8,$AQ$4:$AQ$41,0)</f>
      </c>
      <c r="AS8">
        <v>471</v>
      </c>
      <c r="AT8" s="2">
        <v>58.9</v>
      </c>
      <c r="AU8">
        <v>9</v>
      </c>
      <c r="AV8">
        <f>IF(AND(AP8=AS8,ROUND(AQ8,1)=AT8,AR8=AU8),"✓","✗")</f>
      </c>
    </row>
    <row r="9">
      <c r="A9" t="s">
        <v>25</v>
      </c>
      <c r="B9">
        <v>27</v>
      </c>
      <c r="C9">
        <v>40</v>
      </c>
      <c r="D9">
        <f>SUM(B9:C9)</f>
      </c>
      <c r="E9">
        <f>LOOKUP(D9,{0,40,45,50,55,60,65,70,75},{"F9","E8","D7","C6","C5","C4","B3","B2","A1"})</f>
      </c>
      <c r="F9">
        <f>RANK(D9,$D$4:$D$41,0)</f>
      </c>
      <c r="G9">
        <v>25</v>
      </c>
      <c r="H9">
        <v>38</v>
      </c>
      <c r="I9">
        <f>SUM(G9:H9)</f>
      </c>
      <c r="J9">
        <f>LOOKUP(I9,{0,40,45,50,55,60,65,70,75},{"F9","E8","D7","C6","C5","C4","B3","B2","A1"})</f>
      </c>
      <c r="K9">
        <f>RANK(I9,$I$4:$I$41,0)</f>
      </c>
      <c r="L9">
        <v>25</v>
      </c>
      <c r="M9">
        <v>37</v>
      </c>
      <c r="N9">
        <f>SUM(L9:M9)</f>
      </c>
      <c r="O9">
        <f>LOOKUP(N9,{0,40,45,50,55,60,65,70,75},{"F9","E8","D7","C6","C5","C4","B3","B2","A1"})</f>
      </c>
      <c r="P9">
        <f>RANK(N9,$N$4:$N$41,0)</f>
      </c>
      <c r="Q9">
        <v>18</v>
      </c>
      <c r="R9">
        <v>26</v>
      </c>
      <c r="S9">
        <f>SUM(Q9:R9)</f>
      </c>
      <c r="T9">
        <f>LOOKUP(S9,{0,40,45,50,55,60,65,70,75},{"F9","E8","D7","C6","C5","C4","B3","B2","A1"})</f>
      </c>
      <c r="U9">
        <f>RANK(S9,$S$4:$S$41,0)</f>
      </c>
      <c r="V9">
        <v>28</v>
      </c>
      <c r="W9">
        <v>41</v>
      </c>
      <c r="X9">
        <f>SUM(V9:W9)</f>
      </c>
      <c r="Y9">
        <f>LOOKUP(X9,{0,40,45,50,55,60,65,70,75},{"F9","E8","D7","C6","C5","C4","B3","B2","A1"})</f>
      </c>
      <c r="Z9">
        <f>RANK(X9,$X$4:$X$41,0)</f>
      </c>
      <c r="AA9">
        <v>26</v>
      </c>
      <c r="AB9">
        <v>39</v>
      </c>
      <c r="AC9">
        <f>SUM(AA9:AB9)</f>
      </c>
      <c r="AD9">
        <f>LOOKUP(AC9,{0,40,45,50,55,60,65,70,75},{"F9","E8","D7","C6","C5","C4","B3","B2","A1"})</f>
      </c>
      <c r="AE9">
        <f>RANK(AC9,$AC$4:$AC$41,0)</f>
      </c>
      <c r="AF9">
        <v>21</v>
      </c>
      <c r="AG9">
        <v>31</v>
      </c>
      <c r="AH9">
        <f>SUM(AF9:AG9)</f>
      </c>
      <c r="AI9">
        <f>LOOKUP(AH9,{0,40,45,50,55,60,65,70,75},{"F9","E8","D7","C6","C5","C4","B3","B2","A1"})</f>
      </c>
      <c r="AJ9">
        <f>RANK(AH9,$AH$4:$AH$41,0)</f>
      </c>
      <c r="AK9">
        <v>23</v>
      </c>
      <c r="AL9">
        <v>34</v>
      </c>
      <c r="AM9">
        <f>SUM(AK9:AL9)</f>
      </c>
      <c r="AN9">
        <f>LOOKUP(AM9,{0,40,45,50,55,60,65,70,75},{"F9","E8","D7","C6","C5","C4","B3","B2","A1"})</f>
      </c>
      <c r="AO9">
        <f>RANK(AM9,$AM$4:$AM$41,0)</f>
      </c>
      <c r="AP9">
        <f>SUM(D9,I9,N9,S9,X9,AC9,AH9,AM9)</f>
      </c>
      <c r="AQ9" s="2">
        <f>AVERAGE(D9,I9,N9,S9,X9,AC9,AH9,AM9)</f>
      </c>
      <c r="AR9">
        <f>RANK(AQ9,$AQ$4:$AQ$41,0)</f>
      </c>
      <c r="AS9">
        <v>479</v>
      </c>
      <c r="AT9" s="2">
        <v>59.9</v>
      </c>
      <c r="AU9">
        <v>7</v>
      </c>
      <c r="AV9">
        <f>IF(AND(AP9=AS9,ROUND(AQ9,1)=AT9,AR9=AU9),"✓","✗")</f>
      </c>
    </row>
    <row r="10">
      <c r="A10" t="s">
        <v>26</v>
      </c>
      <c r="B10">
        <v>23</v>
      </c>
      <c r="C10">
        <v>34</v>
      </c>
      <c r="D10">
        <f>SUM(B10:C10)</f>
      </c>
      <c r="E10">
        <f>LOOKUP(D10,{0,40,45,50,55,60,65,70,75},{"F9","E8","D7","C6","C5","C4","B3","B2","A1"})</f>
      </c>
      <c r="F10">
        <f>RANK(D10,$D$4:$D$41,0)</f>
      </c>
      <c r="G10">
        <v>22</v>
      </c>
      <c r="H10">
        <v>34</v>
      </c>
      <c r="I10">
        <f>SUM(G10:H10)</f>
      </c>
      <c r="J10">
        <f>LOOKUP(I10,{0,40,45,50,55,60,65,70,75},{"F9","E8","D7","C6","C5","C4","B3","B2","A1"})</f>
      </c>
      <c r="K10">
        <f>RANK(I10,$I$4:$I$41,0)</f>
      </c>
      <c r="L10">
        <v>22</v>
      </c>
      <c r="M10">
        <v>32</v>
      </c>
      <c r="N10">
        <f>SUM(L10:M10)</f>
      </c>
      <c r="O10">
        <f>LOOKUP(N10,{0,40,45,50,55,60,65,70,75},{"F9","E8","D7","C6","C5","C4","B3","B2","A1"})</f>
      </c>
      <c r="P10">
        <f>RANK(N10,$N$4:$N$41,0)</f>
      </c>
      <c r="Q10">
        <v>25</v>
      </c>
      <c r="R10">
        <v>37</v>
      </c>
      <c r="S10">
        <f>SUM(Q10:R10)</f>
      </c>
      <c r="T10">
        <f>LOOKUP(S10,{0,40,45,50,55,60,65,70,75},{"F9","E8","D7","C6","C5","C4","B3","B2","A1"})</f>
      </c>
      <c r="U10">
        <f>RANK(S10,$S$4:$S$41,0)</f>
      </c>
      <c r="V10">
        <v>22</v>
      </c>
      <c r="W10">
        <v>32</v>
      </c>
      <c r="X10">
        <f>SUM(V10:W10)</f>
      </c>
      <c r="Y10">
        <f>LOOKUP(X10,{0,40,45,50,55,60,65,70,75},{"F9","E8","D7","C6","C5","C4","B3","B2","A1"})</f>
      </c>
      <c r="Z10">
        <f>RANK(X10,$X$4:$X$41,0)</f>
      </c>
      <c r="AA10">
        <v>28</v>
      </c>
      <c r="AB10">
        <v>41</v>
      </c>
      <c r="AC10">
        <f>SUM(AA10:AB10)</f>
      </c>
      <c r="AD10">
        <f>LOOKUP(AC10,{0,40,45,50,55,60,65,70,75},{"F9","E8","D7","C6","C5","C4","B3","B2","A1"})</f>
      </c>
      <c r="AE10">
        <f>RANK(AC10,$AC$4:$AC$41,0)</f>
      </c>
      <c r="AF10">
        <v>24</v>
      </c>
      <c r="AG10">
        <v>35</v>
      </c>
      <c r="AH10">
        <f>SUM(AF10:AG10)</f>
      </c>
      <c r="AI10">
        <f>LOOKUP(AH10,{0,40,45,50,55,60,65,70,75},{"F9","E8","D7","C6","C5","C4","B3","B2","A1"})</f>
      </c>
      <c r="AJ10">
        <f>RANK(AH10,$AH$4:$AH$41,0)</f>
      </c>
      <c r="AK10">
        <v>20</v>
      </c>
      <c r="AL10">
        <v>30</v>
      </c>
      <c r="AM10">
        <f>SUM(AK10:AL10)</f>
      </c>
      <c r="AN10">
        <f>LOOKUP(AM10,{0,40,45,50,55,60,65,70,75},{"F9","E8","D7","C6","C5","C4","B3","B2","A1"})</f>
      </c>
      <c r="AO10">
        <f>RANK(AM10,$AM$4:$AM$41,0)</f>
      </c>
      <c r="AP10">
        <f>SUM(D10,I10,N10,S10,X10,AC10,AH10,AM10)</f>
      </c>
      <c r="AQ10" s="2">
        <f>AVERAGE(D10,I10,N10,S10,X10,AC10,AH10,AM10)</f>
      </c>
      <c r="AR10">
        <f>RANK(AQ10,$AQ$4:$AQ$41,0)</f>
      </c>
      <c r="AS10">
        <v>461</v>
      </c>
      <c r="AT10" s="2">
        <v>57.6</v>
      </c>
      <c r="AU10">
        <v>14</v>
      </c>
      <c r="AV10">
        <f>IF(AND(AP10=AS10,ROUND(AQ10,1)=AT10,AR10=AU10),"✓","✗")</f>
      </c>
    </row>
    <row r="11">
      <c r="A11" t="s">
        <v>27</v>
      </c>
      <c r="B11">
        <v>24</v>
      </c>
      <c r="C11">
        <v>48</v>
      </c>
      <c r="D11">
        <f>SUM(B11:C11)</f>
      </c>
      <c r="E11">
        <f>LOOKUP(D11,{0,40,45,50,55,60,65,70,75},{"F9","E8","D7","C6","C5","C4","B3","B2","A1"})</f>
      </c>
      <c r="F11">
        <f>RANK(D11,$D$4:$D$41,0)</f>
      </c>
      <c r="G11">
        <v>30</v>
      </c>
      <c r="H11">
        <v>52</v>
      </c>
      <c r="I11">
        <f>SUM(G11:H11)</f>
      </c>
      <c r="J11">
        <f>LOOKUP(I11,{0,40,45,50,55,60,65,70,75},{"F9","E8","D7","C6","C5","C4","B3","B2","A1"})</f>
      </c>
      <c r="K11">
        <f>RANK(I11,$I$4:$I$41,0)</f>
      </c>
      <c r="L11">
        <v>26</v>
      </c>
      <c r="M11">
        <v>45</v>
      </c>
      <c r="N11">
        <f>SUM(L11:M11)</f>
      </c>
      <c r="O11">
        <f>LOOKUP(N11,{0,40,45,50,55,60,65,70,75},{"F9","E8","D7","C6","C5","C4","B3","B2","A1"})</f>
      </c>
      <c r="P11">
        <f>RANK(N11,$N$4:$N$41,0)</f>
      </c>
      <c r="Q11">
        <v>22</v>
      </c>
      <c r="R11">
        <v>40</v>
      </c>
      <c r="S11">
        <f>SUM(Q11:R11)</f>
      </c>
      <c r="T11">
        <f>LOOKUP(S11,{0,40,45,50,55,60,65,70,75},{"F9","E8","D7","C6","C5","C4","B3","B2","A1"})</f>
      </c>
      <c r="U11">
        <f>RANK(S11,$S$4:$S$41,0)</f>
      </c>
      <c r="V11">
        <v>28</v>
      </c>
      <c r="W11">
        <v>50</v>
      </c>
      <c r="X11">
        <f>SUM(V11:W11)</f>
      </c>
      <c r="Y11">
        <f>LOOKUP(X11,{0,40,45,50,55,60,65,70,75},{"F9","E8","D7","C6","C5","C4","B3","B2","A1"})</f>
      </c>
      <c r="Z11">
        <f>RANK(X11,$X$4:$X$41,0)</f>
      </c>
      <c r="AA11">
        <v>27</v>
      </c>
      <c r="AB11">
        <v>46</v>
      </c>
      <c r="AC11">
        <f>SUM(AA11:AB11)</f>
      </c>
      <c r="AD11">
        <f>LOOKUP(AC11,{0,40,45,50,55,60,65,70,75},{"F9","E8","D7","C6","C5","C4","B3","B2","A1"})</f>
      </c>
      <c r="AE11">
        <f>RANK(AC11,$AC$4:$AC$41,0)</f>
      </c>
      <c r="AF11">
        <v>20</v>
      </c>
      <c r="AG11">
        <v>38</v>
      </c>
      <c r="AH11">
        <f>SUM(AF11:AG11)</f>
      </c>
      <c r="AI11">
        <f>LOOKUP(AH11,{0,40,45,50,55,60,65,70,75},{"F9","E8","D7","C6","C5","C4","B3","B2","A1"})</f>
      </c>
      <c r="AJ11">
        <f>RANK(AH11,$AH$4:$AH$41,0)</f>
      </c>
      <c r="AK11">
        <v>25</v>
      </c>
      <c r="AL11">
        <v>50</v>
      </c>
      <c r="AM11">
        <f>SUM(AK11:AL11)</f>
      </c>
      <c r="AN11">
        <f>LOOKUP(AM11,{0,40,45,50,55,60,65,70,75},{"F9","E8","D7","C6","C5","C4","B3","B2","A1"})</f>
      </c>
      <c r="AO11">
        <f>RANK(AM11,$AM$4:$AM$41,0)</f>
      </c>
      <c r="AP11">
        <f>SUM(D11,I11,N11,S11,X11,AC11,AH11,AM11)</f>
      </c>
      <c r="AQ11" s="2">
        <f>AVERAGE(D11,I11,N11,S11,X11,AC11,AH11,AM11)</f>
      </c>
      <c r="AR11">
        <f>RANK(AQ11,$AQ$4:$AQ$41,0)</f>
      </c>
      <c r="AS11">
        <v>571</v>
      </c>
      <c r="AT11" s="2">
        <v>71.4</v>
      </c>
      <c r="AU11">
        <v>6</v>
      </c>
      <c r="AV11">
        <f>IF(AND(AP11=AS11,ROUND(AQ11,1)=AT11,AR11=AU11),"✓","✗")</f>
      </c>
    </row>
    <row r="12">
      <c r="A12" t="s">
        <v>28</v>
      </c>
      <c r="B12">
        <v>20</v>
      </c>
      <c r="C12">
        <v>29</v>
      </c>
      <c r="D12">
        <f>SUM(B12:C12)</f>
      </c>
      <c r="E12">
        <f>LOOKUP(D12,{0,40,45,50,55,60,65,70,75},{"F9","E8","D7","C6","C5","C4","B3","B2","A1"})</f>
      </c>
      <c r="F12">
        <f>RANK(D12,$D$4:$D$41,0)</f>
      </c>
      <c r="G12">
        <v>25</v>
      </c>
      <c r="H12">
        <v>38</v>
      </c>
      <c r="I12">
        <f>SUM(G12:H12)</f>
      </c>
      <c r="J12">
        <f>LOOKUP(I12,{0,40,45,50,55,60,65,70,75},{"F9","E8","D7","C6","C5","C4","B3","B2","A1"})</f>
      </c>
      <c r="K12">
        <f>RANK(I12,$I$4:$I$41,0)</f>
      </c>
      <c r="L12">
        <v>26</v>
      </c>
      <c r="M12">
        <v>38</v>
      </c>
      <c r="N12">
        <f>SUM(L12:M12)</f>
      </c>
      <c r="O12">
        <f>LOOKUP(N12,{0,40,45,50,55,60,65,70,75},{"F9","E8","D7","C6","C5","C4","B3","B2","A1"})</f>
      </c>
      <c r="P12">
        <f>RANK(N12,$N$4:$N$41,0)</f>
      </c>
      <c r="Q12">
        <v>20</v>
      </c>
      <c r="R12">
        <v>31</v>
      </c>
      <c r="S12">
        <f>SUM(Q12:R12)</f>
      </c>
      <c r="T12">
        <f>LOOKUP(S12,{0,40,45,50,55,60,65,70,75},{"F9","E8","D7","C6","C5","C4","B3","B2","A1"})</f>
      </c>
      <c r="U12">
        <f>RANK(S12,$S$4:$S$41,0)</f>
      </c>
      <c r="V12">
        <v>26</v>
      </c>
      <c r="W12">
        <v>40</v>
      </c>
      <c r="X12">
        <f>SUM(V12:W12)</f>
      </c>
      <c r="Y12">
        <f>LOOKUP(X12,{0,40,45,50,55,60,65,70,75},{"F9","E8","D7","C6","C5","C4","B3","B2","A1"})</f>
      </c>
      <c r="Z12">
        <f>RANK(X12,$X$4:$X$41,0)</f>
      </c>
      <c r="AA12">
        <v>21</v>
      </c>
      <c r="AB12">
        <v>32</v>
      </c>
      <c r="AC12">
        <f>SUM(AA12:AB12)</f>
      </c>
      <c r="AD12">
        <f>LOOKUP(AC12,{0,40,45,50,55,60,65,70,75},{"F9","E8","D7","C6","C5","C4","B3","B2","A1"})</f>
      </c>
      <c r="AE12">
        <f>RANK(AC12,$AC$4:$AC$41,0)</f>
      </c>
      <c r="AF12">
        <v>22</v>
      </c>
      <c r="AG12">
        <v>33</v>
      </c>
      <c r="AH12">
        <f>SUM(AF12:AG12)</f>
      </c>
      <c r="AI12">
        <f>LOOKUP(AH12,{0,40,45,50,55,60,65,70,75},{"F9","E8","D7","C6","C5","C4","B3","B2","A1"})</f>
      </c>
      <c r="AJ12">
        <f>RANK(AH12,$AH$4:$AH$41,0)</f>
      </c>
      <c r="AK12">
        <v>18</v>
      </c>
      <c r="AL12">
        <v>27</v>
      </c>
      <c r="AM12">
        <f>SUM(AK12:AL12)</f>
      </c>
      <c r="AN12">
        <f>LOOKUP(AM12,{0,40,45,50,55,60,65,70,75},{"F9","E8","D7","C6","C5","C4","B3","B2","A1"})</f>
      </c>
      <c r="AO12">
        <f>RANK(AM12,$AM$4:$AM$41,0)</f>
      </c>
      <c r="AP12">
        <f>SUM(D12,I12,N12,S12,X12,AC12,AH12,AM12)</f>
      </c>
      <c r="AQ12" s="2">
        <f>AVERAGE(D12,I12,N12,S12,X12,AC12,AH12,AM12)</f>
      </c>
      <c r="AR12">
        <f>RANK(AQ12,$AQ$4:$AQ$41,0)</f>
      </c>
      <c r="AS12">
        <v>446</v>
      </c>
      <c r="AT12" s="2">
        <v>55.8</v>
      </c>
      <c r="AU12">
        <v>23</v>
      </c>
      <c r="AV12">
        <f>IF(AND(AP12=AS12,ROUND(AQ12,1)=AT12,AR12=AU12),"✓","✗")</f>
      </c>
    </row>
    <row r="13">
      <c r="A13" t="s">
        <v>29</v>
      </c>
      <c r="B13">
        <v>26</v>
      </c>
      <c r="C13">
        <v>40</v>
      </c>
      <c r="D13">
        <f>SUM(B13:C13)</f>
      </c>
      <c r="E13">
        <f>LOOKUP(D13,{0,40,45,50,55,60,65,70,75},{"F9","E8","D7","C6","C5","C4","B3","B2","A1"})</f>
      </c>
      <c r="F13">
        <f>RANK(D13,$D$4:$D$41,0)</f>
      </c>
      <c r="G13">
        <v>17</v>
      </c>
      <c r="H13">
        <v>26</v>
      </c>
      <c r="I13">
        <f>SUM(G13:H13)</f>
      </c>
      <c r="J13">
        <f>LOOKUP(I13,{0,40,45,50,55,60,65,70,75},{"F9","E8","D7","C6","C5","C4","B3","B2","A1"})</f>
      </c>
      <c r="K13">
        <f>RANK(I13,$I$4:$I$41,0)</f>
      </c>
      <c r="L13">
        <v>20</v>
      </c>
      <c r="M13">
        <v>30</v>
      </c>
      <c r="N13">
        <f>SUM(L13:M13)</f>
      </c>
      <c r="O13">
        <f>LOOKUP(N13,{0,40,45,50,55,60,65,70,75},{"F9","E8","D7","C6","C5","C4","B3","B2","A1"})</f>
      </c>
      <c r="P13">
        <f>RANK(N13,$N$4:$N$41,0)</f>
      </c>
      <c r="Q13">
        <v>23</v>
      </c>
      <c r="R13">
        <v>35</v>
      </c>
      <c r="S13">
        <f>SUM(Q13:R13)</f>
      </c>
      <c r="T13">
        <f>LOOKUP(S13,{0,40,45,50,55,60,65,70,75},{"F9","E8","D7","C6","C5","C4","B3","B2","A1"})</f>
      </c>
      <c r="U13">
        <f>RANK(S13,$S$4:$S$41,0)</f>
      </c>
      <c r="V13">
        <v>28</v>
      </c>
      <c r="W13">
        <v>41</v>
      </c>
      <c r="X13">
        <f>SUM(V13:W13)</f>
      </c>
      <c r="Y13">
        <f>LOOKUP(X13,{0,40,45,50,55,60,65,70,75},{"F9","E8","D7","C6","C5","C4","B3","B2","A1"})</f>
      </c>
      <c r="Z13">
        <f>RANK(X13,$X$4:$X$41,0)</f>
      </c>
      <c r="AA13">
        <v>23</v>
      </c>
      <c r="AB13">
        <v>34</v>
      </c>
      <c r="AC13">
        <f>SUM(AA13:AB13)</f>
      </c>
      <c r="AD13">
        <f>LOOKUP(AC13,{0,40,45,50,55,60,65,70,75},{"F9","E8","D7","C6","C5","C4","B3","B2","A1"})</f>
      </c>
      <c r="AE13">
        <f>RANK(AC13,$AC$4:$AC$41,0)</f>
      </c>
      <c r="AF13">
        <v>17</v>
      </c>
      <c r="AG13">
        <v>25</v>
      </c>
      <c r="AH13">
        <f>SUM(AF13:AG13)</f>
      </c>
      <c r="AI13">
        <f>LOOKUP(AH13,{0,40,45,50,55,60,65,70,75},{"F9","E8","D7","C6","C5","C4","B3","B2","A1"})</f>
      </c>
      <c r="AJ13">
        <f>RANK(AH13,$AH$4:$AH$41,0)</f>
      </c>
      <c r="AK13">
        <v>18</v>
      </c>
      <c r="AL13">
        <v>27</v>
      </c>
      <c r="AM13">
        <f>SUM(AK13:AL13)</f>
      </c>
      <c r="AN13">
        <f>LOOKUP(AM13,{0,40,45,50,55,60,65,70,75},{"F9","E8","D7","C6","C5","C4","B3","B2","A1"})</f>
      </c>
      <c r="AO13">
        <f>RANK(AM13,$AM$4:$AM$41,0)</f>
      </c>
      <c r="AP13">
        <f>SUM(D13,I13,N13,S13,X13,AC13,AH13,AM13)</f>
      </c>
      <c r="AQ13" s="2">
        <f>AVERAGE(D13,I13,N13,S13,X13,AC13,AH13,AM13)</f>
      </c>
      <c r="AR13">
        <f>RANK(AQ13,$AQ$4:$AQ$41,0)</f>
      </c>
      <c r="AS13">
        <v>430</v>
      </c>
      <c r="AT13" s="2">
        <v>53.8</v>
      </c>
      <c r="AU13">
        <v>36</v>
      </c>
      <c r="AV13">
        <f>IF(AND(AP13=AS13,ROUND(AQ13,1)=AT13,AR13=AU13),"✓","✗")</f>
      </c>
    </row>
    <row r="14">
      <c r="A14" t="s">
        <v>30</v>
      </c>
      <c r="B14">
        <v>22</v>
      </c>
      <c r="C14">
        <v>34</v>
      </c>
      <c r="D14">
        <f>SUM(B14:C14)</f>
      </c>
      <c r="E14">
        <f>LOOKUP(D14,{0,40,45,50,55,60,65,70,75},{"F9","E8","D7","C6","C5","C4","B3","B2","A1"})</f>
      </c>
      <c r="F14">
        <f>RANK(D14,$D$4:$D$41,0)</f>
      </c>
      <c r="G14">
        <v>22</v>
      </c>
      <c r="H14">
        <v>32</v>
      </c>
      <c r="I14">
        <f>SUM(G14:H14)</f>
      </c>
      <c r="J14">
        <f>LOOKUP(I14,{0,40,45,50,55,60,65,70,75},{"F9","E8","D7","C6","C5","C4","B3","B2","A1"})</f>
      </c>
      <c r="K14">
        <f>RANK(I14,$I$4:$I$41,0)</f>
      </c>
      <c r="L14">
        <v>28</v>
      </c>
      <c r="M14">
        <v>41</v>
      </c>
      <c r="N14">
        <f>SUM(L14:M14)</f>
      </c>
      <c r="O14">
        <f>LOOKUP(N14,{0,40,45,50,55,60,65,70,75},{"F9","E8","D7","C6","C5","C4","B3","B2","A1"})</f>
      </c>
      <c r="P14">
        <f>RANK(N14,$N$4:$N$41,0)</f>
      </c>
      <c r="Q14">
        <v>23</v>
      </c>
      <c r="R14">
        <v>35</v>
      </c>
      <c r="S14">
        <f>SUM(Q14:R14)</f>
      </c>
      <c r="T14">
        <f>LOOKUP(S14,{0,40,45,50,55,60,65,70,75},{"F9","E8","D7","C6","C5","C4","B3","B2","A1"})</f>
      </c>
      <c r="U14">
        <f>RANK(S14,$S$4:$S$41,0)</f>
      </c>
      <c r="V14">
        <v>28</v>
      </c>
      <c r="W14">
        <v>41</v>
      </c>
      <c r="X14">
        <f>SUM(V14:W14)</f>
      </c>
      <c r="Y14">
        <f>LOOKUP(X14,{0,40,45,50,55,60,65,70,75},{"F9","E8","D7","C6","C5","C4","B3","B2","A1"})</f>
      </c>
      <c r="Z14">
        <f>RANK(X14,$X$4:$X$41,0)</f>
      </c>
      <c r="AA14">
        <v>24</v>
      </c>
      <c r="AB14">
        <v>37</v>
      </c>
      <c r="AC14">
        <f>SUM(AA14:AB14)</f>
      </c>
      <c r="AD14">
        <f>LOOKUP(AC14,{0,40,45,50,55,60,65,70,75},{"F9","E8","D7","C6","C5","C4","B3","B2","A1"})</f>
      </c>
      <c r="AE14">
        <f>RANK(AC14,$AC$4:$AC$41,0)</f>
      </c>
      <c r="AF14">
        <v>16</v>
      </c>
      <c r="AG14">
        <v>25</v>
      </c>
      <c r="AH14">
        <f>SUM(AF14:AG14)</f>
      </c>
      <c r="AI14">
        <f>LOOKUP(AH14,{0,40,45,50,55,60,65,70,75},{"F9","E8","D7","C6","C5","C4","B3","B2","A1"})</f>
      </c>
      <c r="AJ14">
        <f>RANK(AH14,$AH$4:$AH$41,0)</f>
      </c>
      <c r="AK14">
        <v>25</v>
      </c>
      <c r="AL14">
        <v>38</v>
      </c>
      <c r="AM14">
        <f>SUM(AK14:AL14)</f>
      </c>
      <c r="AN14">
        <f>LOOKUP(AM14,{0,40,45,50,55,60,65,70,75},{"F9","E8","D7","C6","C5","C4","B3","B2","A1"})</f>
      </c>
      <c r="AO14">
        <f>RANK(AM14,$AM$4:$AM$41,0)</f>
      </c>
      <c r="AP14">
        <f>SUM(D14,I14,N14,S14,X14,AC14,AH14,AM14)</f>
      </c>
      <c r="AQ14" s="2">
        <f>AVERAGE(D14,I14,N14,S14,X14,AC14,AH14,AM14)</f>
      </c>
      <c r="AR14">
        <f>RANK(AQ14,$AQ$4:$AQ$41,0)</f>
      </c>
      <c r="AS14">
        <v>471</v>
      </c>
      <c r="AT14" s="2">
        <v>58.9</v>
      </c>
      <c r="AU14">
        <v>9</v>
      </c>
      <c r="AV14">
        <f>IF(AND(AP14=AS14,ROUND(AQ14,1)=AT14,AR14=AU14),"✓","✗")</f>
      </c>
    </row>
    <row r="15">
      <c r="A15" t="s">
        <v>31</v>
      </c>
      <c r="B15">
        <v>24</v>
      </c>
      <c r="C15">
        <v>37</v>
      </c>
      <c r="D15">
        <f>SUM(B15:C15)</f>
      </c>
      <c r="E15">
        <f>LOOKUP(D15,{0,40,45,50,55,60,65,70,75},{"F9","E8","D7","C6","C5","C4","B3","B2","A1"})</f>
      </c>
      <c r="F15">
        <f>RANK(D15,$D$4:$D$41,0)</f>
      </c>
      <c r="G15">
        <v>21</v>
      </c>
      <c r="H15">
        <v>31</v>
      </c>
      <c r="I15">
        <f>SUM(G15:H15)</f>
      </c>
      <c r="J15">
        <f>LOOKUP(I15,{0,40,45,50,55,60,65,70,75},{"F9","E8","D7","C6","C5","C4","B3","B2","A1"})</f>
      </c>
      <c r="K15">
        <f>RANK(I15,$I$4:$I$41,0)</f>
      </c>
      <c r="L15">
        <v>20</v>
      </c>
      <c r="M15">
        <v>31</v>
      </c>
      <c r="N15">
        <f>SUM(L15:M15)</f>
      </c>
      <c r="O15">
        <f>LOOKUP(N15,{0,40,45,50,55,60,65,70,75},{"F9","E8","D7","C6","C5","C4","B3","B2","A1"})</f>
      </c>
      <c r="P15">
        <f>RANK(N15,$N$4:$N$41,0)</f>
      </c>
      <c r="Q15">
        <v>19</v>
      </c>
      <c r="R15">
        <v>29</v>
      </c>
      <c r="S15">
        <f>SUM(Q15:R15)</f>
      </c>
      <c r="T15">
        <f>LOOKUP(S15,{0,40,45,50,55,60,65,70,75},{"F9","E8","D7","C6","C5","C4","B3","B2","A1"})</f>
      </c>
      <c r="U15">
        <f>RANK(S15,$S$4:$S$41,0)</f>
      </c>
      <c r="V15">
        <v>24</v>
      </c>
      <c r="W15">
        <v>37</v>
      </c>
      <c r="X15">
        <f>SUM(V15:W15)</f>
      </c>
      <c r="Y15">
        <f>LOOKUP(X15,{0,40,45,50,55,60,65,70,75},{"F9","E8","D7","C6","C5","C4","B3","B2","A1"})</f>
      </c>
      <c r="Z15">
        <f>RANK(X15,$X$4:$X$41,0)</f>
      </c>
      <c r="AA15">
        <v>23</v>
      </c>
      <c r="AB15">
        <v>34</v>
      </c>
      <c r="AC15">
        <f>SUM(AA15:AB15)</f>
      </c>
      <c r="AD15">
        <f>LOOKUP(AC15,{0,40,45,50,55,60,65,70,75},{"F9","E8","D7","C6","C5","C4","B3","B2","A1"})</f>
      </c>
      <c r="AE15">
        <f>RANK(AC15,$AC$4:$AC$41,0)</f>
      </c>
      <c r="AF15">
        <v>18</v>
      </c>
      <c r="AG15">
        <v>28</v>
      </c>
      <c r="AH15">
        <f>SUM(AF15:AG15)</f>
      </c>
      <c r="AI15">
        <f>LOOKUP(AH15,{0,40,45,50,55,60,65,70,75},{"F9","E8","D7","C6","C5","C4","B3","B2","A1"})</f>
      </c>
      <c r="AJ15">
        <f>RANK(AH15,$AH$4:$AH$41,0)</f>
      </c>
      <c r="AK15">
        <v>23</v>
      </c>
      <c r="AL15">
        <v>34</v>
      </c>
      <c r="AM15">
        <f>SUM(AK15:AL15)</f>
      </c>
      <c r="AN15">
        <f>LOOKUP(AM15,{0,40,45,50,55,60,65,70,75},{"F9","E8","D7","C6","C5","C4","B3","B2","A1"})</f>
      </c>
      <c r="AO15">
        <f>RANK(AM15,$AM$4:$AM$41,0)</f>
      </c>
      <c r="AP15">
        <f>SUM(D15,I15,N15,S15,X15,AC15,AH15,AM15)</f>
      </c>
      <c r="AQ15" s="2">
        <f>AVERAGE(D15,I15,N15,S15,X15,AC15,AH15,AM15)</f>
      </c>
      <c r="AR15">
        <f>RANK(AQ15,$AQ$4:$AQ$41,0)</f>
      </c>
      <c r="AS15">
        <v>433</v>
      </c>
      <c r="AT15" s="2">
        <v>54.1</v>
      </c>
      <c r="AU15">
        <v>32</v>
      </c>
      <c r="AV15">
        <f>IF(AND(AP15=AS15,ROUND(AQ15,1)=AT15,AR15=AU15),"✓","✗")</f>
      </c>
    </row>
    <row r="16">
      <c r="A16" t="s">
        <v>32</v>
      </c>
      <c r="B16">
        <v>22</v>
      </c>
      <c r="C16">
        <v>33</v>
      </c>
      <c r="D16">
        <f>SUM(B16:C16)</f>
      </c>
      <c r="E16">
        <f>LOOKUP(D16,{0,40,45,50,55,60,65,70,75},{"F9","E8","D7","C6","C5","C4","B3","B2","A1"})</f>
      </c>
      <c r="F16">
        <f>RANK(D16,$D$4:$D$41,0)</f>
      </c>
      <c r="G16">
        <v>25</v>
      </c>
      <c r="H16">
        <v>38</v>
      </c>
      <c r="I16">
        <f>SUM(G16:H16)</f>
      </c>
      <c r="J16">
        <f>LOOKUP(I16,{0,40,45,50,55,60,65,70,75},{"F9","E8","D7","C6","C5","C4","B3","B2","A1"})</f>
      </c>
      <c r="K16">
        <f>RANK(I16,$I$4:$I$41,0)</f>
      </c>
      <c r="L16">
        <v>22</v>
      </c>
      <c r="M16">
        <v>33</v>
      </c>
      <c r="N16">
        <f>SUM(L16:M16)</f>
      </c>
      <c r="O16">
        <f>LOOKUP(N16,{0,40,45,50,55,60,65,70,75},{"F9","E8","D7","C6","C5","C4","B3","B2","A1"})</f>
      </c>
      <c r="P16">
        <f>RANK(N16,$N$4:$N$41,0)</f>
      </c>
      <c r="Q16">
        <v>21</v>
      </c>
      <c r="R16">
        <v>31</v>
      </c>
      <c r="S16">
        <f>SUM(Q16:R16)</f>
      </c>
      <c r="T16">
        <f>LOOKUP(S16,{0,40,45,50,55,60,65,70,75},{"F9","E8","D7","C6","C5","C4","B3","B2","A1"})</f>
      </c>
      <c r="U16">
        <f>RANK(S16,$S$4:$S$41,0)</f>
      </c>
      <c r="V16">
        <v>22</v>
      </c>
      <c r="W16">
        <v>32</v>
      </c>
      <c r="X16">
        <f>SUM(V16:W16)</f>
      </c>
      <c r="Y16">
        <f>LOOKUP(X16,{0,40,45,50,55,60,65,70,75},{"F9","E8","D7","C6","C5","C4","B3","B2","A1"})</f>
      </c>
      <c r="Z16">
        <f>RANK(X16,$X$4:$X$41,0)</f>
      </c>
      <c r="AA16">
        <v>26</v>
      </c>
      <c r="AB16">
        <v>39</v>
      </c>
      <c r="AC16">
        <f>SUM(AA16:AB16)</f>
      </c>
      <c r="AD16">
        <f>LOOKUP(AC16,{0,40,45,50,55,60,65,70,75},{"F9","E8","D7","C6","C5","C4","B3","B2","A1"})</f>
      </c>
      <c r="AE16">
        <f>RANK(AC16,$AC$4:$AC$41,0)</f>
      </c>
      <c r="AF16">
        <v>22</v>
      </c>
      <c r="AG16">
        <v>33</v>
      </c>
      <c r="AH16">
        <f>SUM(AF16:AG16)</f>
      </c>
      <c r="AI16">
        <f>LOOKUP(AH16,{0,40,45,50,55,60,65,70,75},{"F9","E8","D7","C6","C5","C4","B3","B2","A1"})</f>
      </c>
      <c r="AJ16">
        <f>RANK(AH16,$AH$4:$AH$41,0)</f>
      </c>
      <c r="AK16">
        <v>24</v>
      </c>
      <c r="AL16">
        <v>36</v>
      </c>
      <c r="AM16">
        <f>SUM(AK16:AL16)</f>
      </c>
      <c r="AN16">
        <f>LOOKUP(AM16,{0,40,45,50,55,60,65,70,75},{"F9","E8","D7","C6","C5","C4","B3","B2","A1"})</f>
      </c>
      <c r="AO16">
        <f>RANK(AM16,$AM$4:$AM$41,0)</f>
      </c>
      <c r="AP16">
        <f>SUM(D16,I16,N16,S16,X16,AC16,AH16,AM16)</f>
      </c>
      <c r="AQ16" s="2">
        <f>AVERAGE(D16,I16,N16,S16,X16,AC16,AH16,AM16)</f>
      </c>
      <c r="AR16">
        <f>RANK(AQ16,$AQ$4:$AQ$41,0)</f>
      </c>
      <c r="AS16">
        <v>459</v>
      </c>
      <c r="AT16" s="2">
        <v>57.4</v>
      </c>
      <c r="AU16">
        <v>16</v>
      </c>
      <c r="AV16">
        <f>IF(AND(AP16=AS16,ROUND(AQ16,1)=AT16,AR16=AU16),"✓","✗")</f>
      </c>
    </row>
    <row r="17">
      <c r="A17" t="s">
        <v>33</v>
      </c>
      <c r="B17">
        <v>22</v>
      </c>
      <c r="C17">
        <v>34</v>
      </c>
      <c r="D17">
        <f>SUM(B17:C17)</f>
      </c>
      <c r="E17">
        <f>LOOKUP(D17,{0,40,45,50,55,60,65,70,75},{"F9","E8","D7","C6","C5","C4","B3","B2","A1"})</f>
      </c>
      <c r="F17">
        <f>RANK(D17,$D$4:$D$41,0)</f>
      </c>
      <c r="G17">
        <v>20</v>
      </c>
      <c r="H17">
        <v>29</v>
      </c>
      <c r="I17">
        <f>SUM(G17:H17)</f>
      </c>
      <c r="J17">
        <f>LOOKUP(I17,{0,40,45,50,55,60,65,70,75},{"F9","E8","D7","C6","C5","C4","B3","B2","A1"})</f>
      </c>
      <c r="K17">
        <f>RANK(I17,$I$4:$I$41,0)</f>
      </c>
      <c r="L17">
        <v>23</v>
      </c>
      <c r="M17">
        <v>35</v>
      </c>
      <c r="N17">
        <f>SUM(L17:M17)</f>
      </c>
      <c r="O17">
        <f>LOOKUP(N17,{0,40,45,50,55,60,65,70,75},{"F9","E8","D7","C6","C5","C4","B3","B2","A1"})</f>
      </c>
      <c r="P17">
        <f>RANK(N17,$N$4:$N$41,0)</f>
      </c>
      <c r="Q17">
        <v>22</v>
      </c>
      <c r="R17">
        <v>34</v>
      </c>
      <c r="S17">
        <f>SUM(Q17:R17)</f>
      </c>
      <c r="T17">
        <f>LOOKUP(S17,{0,40,45,50,55,60,65,70,75},{"F9","E8","D7","C6","C5","C4","B3","B2","A1"})</f>
      </c>
      <c r="U17">
        <f>RANK(S17,$S$4:$S$41,0)</f>
      </c>
      <c r="V17">
        <v>24</v>
      </c>
      <c r="W17">
        <v>35</v>
      </c>
      <c r="X17">
        <f>SUM(V17:W17)</f>
      </c>
      <c r="Y17">
        <f>LOOKUP(X17,{0,40,45,50,55,60,65,70,75},{"F9","E8","D7","C6","C5","C4","B3","B2","A1"})</f>
      </c>
      <c r="Z17">
        <f>RANK(X17,$X$4:$X$41,0)</f>
      </c>
      <c r="AA17">
        <v>20</v>
      </c>
      <c r="AB17">
        <v>31</v>
      </c>
      <c r="AC17">
        <f>SUM(AA17:AB17)</f>
      </c>
      <c r="AD17">
        <f>LOOKUP(AC17,{0,40,45,50,55,60,65,70,75},{"F9","E8","D7","C6","C5","C4","B3","B2","A1"})</f>
      </c>
      <c r="AE17">
        <f>RANK(AC17,$AC$4:$AC$41,0)</f>
      </c>
      <c r="AF17">
        <v>18</v>
      </c>
      <c r="AG17">
        <v>26</v>
      </c>
      <c r="AH17">
        <f>SUM(AF17:AG17)</f>
      </c>
      <c r="AI17">
        <f>LOOKUP(AH17,{0,40,45,50,55,60,65,70,75},{"F9","E8","D7","C6","C5","C4","B3","B2","A1"})</f>
      </c>
      <c r="AJ17">
        <f>RANK(AH17,$AH$4:$AH$41,0)</f>
      </c>
      <c r="AK17">
        <v>19</v>
      </c>
      <c r="AL17">
        <v>29</v>
      </c>
      <c r="AM17">
        <f>SUM(AK17:AL17)</f>
      </c>
      <c r="AN17">
        <f>LOOKUP(AM17,{0,40,45,50,55,60,65,70,75},{"F9","E8","D7","C6","C5","C4","B3","B2","A1"})</f>
      </c>
      <c r="AO17">
        <f>RANK(AM17,$AM$4:$AM$41,0)</f>
      </c>
      <c r="AP17">
        <f>SUM(D17,I17,N17,S17,X17,AC17,AH17,AM17)</f>
      </c>
      <c r="AQ17" s="2">
        <f>AVERAGE(D17,I17,N17,S17,X17,AC17,AH17,AM17)</f>
      </c>
      <c r="AR17">
        <f>RANK(AQ17,$AQ$4:$AQ$41,0)</f>
      </c>
      <c r="AS17">
        <v>421</v>
      </c>
      <c r="AT17" s="2">
        <v>52.6</v>
      </c>
      <c r="AU17">
        <v>38</v>
      </c>
      <c r="AV17">
        <f>IF(AND(AP17=AS17,ROUND(AQ17,1)=AT17,AR17=AU17),"✓","✗")</f>
      </c>
    </row>
    <row r="18">
      <c r="A18" t="s">
        <v>34</v>
      </c>
      <c r="B18">
        <v>22</v>
      </c>
      <c r="C18">
        <v>32</v>
      </c>
      <c r="D18">
        <f>SUM(B18:C18)</f>
      </c>
      <c r="E18">
        <f>LOOKUP(D18,{0,40,45,50,55,60,65,70,75},{"F9","E8","D7","C6","C5","C4","B3","B2","A1"})</f>
      </c>
      <c r="F18">
        <f>RANK(D18,$D$4:$D$41,0)</f>
      </c>
      <c r="G18">
        <v>20</v>
      </c>
      <c r="H18">
        <v>30</v>
      </c>
      <c r="I18">
        <f>SUM(G18:H18)</f>
      </c>
      <c r="J18">
        <f>LOOKUP(I18,{0,40,45,50,55,60,65,70,75},{"F9","E8","D7","C6","C5","C4","B3","B2","A1"})</f>
      </c>
      <c r="K18">
        <f>RANK(I18,$I$4:$I$41,0)</f>
      </c>
      <c r="L18">
        <v>28</v>
      </c>
      <c r="M18">
        <v>41</v>
      </c>
      <c r="N18">
        <f>SUM(L18:M18)</f>
      </c>
      <c r="O18">
        <f>LOOKUP(N18,{0,40,45,50,55,60,65,70,75},{"F9","E8","D7","C6","C5","C4","B3","B2","A1"})</f>
      </c>
      <c r="P18">
        <f>RANK(N18,$N$4:$N$41,0)</f>
      </c>
      <c r="Q18">
        <v>20</v>
      </c>
      <c r="R18">
        <v>30</v>
      </c>
      <c r="S18">
        <f>SUM(Q18:R18)</f>
      </c>
      <c r="T18">
        <f>LOOKUP(S18,{0,40,45,50,55,60,65,70,75},{"F9","E8","D7","C6","C5","C4","B3","B2","A1"})</f>
      </c>
      <c r="U18">
        <f>RANK(S18,$S$4:$S$41,0)</f>
      </c>
      <c r="V18">
        <v>28</v>
      </c>
      <c r="W18">
        <v>41</v>
      </c>
      <c r="X18">
        <f>SUM(V18:W18)</f>
      </c>
      <c r="Y18">
        <f>LOOKUP(X18,{0,40,45,50,55,60,65,70,75},{"F9","E8","D7","C6","C5","C4","B3","B2","A1"})</f>
      </c>
      <c r="Z18">
        <f>RANK(X18,$X$4:$X$41,0)</f>
      </c>
      <c r="AA18">
        <v>22</v>
      </c>
      <c r="AB18">
        <v>34</v>
      </c>
      <c r="AC18">
        <f>SUM(AA18:AB18)</f>
      </c>
      <c r="AD18">
        <f>LOOKUP(AC18,{0,40,45,50,55,60,65,70,75},{"F9","E8","D7","C6","C5","C4","B3","B2","A1"})</f>
      </c>
      <c r="AE18">
        <f>RANK(AC18,$AC$4:$AC$41,0)</f>
      </c>
      <c r="AF18">
        <v>21</v>
      </c>
      <c r="AG18">
        <v>31</v>
      </c>
      <c r="AH18">
        <f>SUM(AF18:AG18)</f>
      </c>
      <c r="AI18">
        <f>LOOKUP(AH18,{0,40,45,50,55,60,65,70,75},{"F9","E8","D7","C6","C5","C4","B3","B2","A1"})</f>
      </c>
      <c r="AJ18">
        <f>RANK(AH18,$AH$4:$AH$41,0)</f>
      </c>
      <c r="AK18">
        <v>24</v>
      </c>
      <c r="AL18">
        <v>35</v>
      </c>
      <c r="AM18">
        <f>SUM(AK18:AL18)</f>
      </c>
      <c r="AN18">
        <f>LOOKUP(AM18,{0,40,45,50,55,60,65,70,75},{"F9","E8","D7","C6","C5","C4","B3","B2","A1"})</f>
      </c>
      <c r="AO18">
        <f>RANK(AM18,$AM$4:$AM$41,0)</f>
      </c>
      <c r="AP18">
        <f>SUM(D18,I18,N18,S18,X18,AC18,AH18,AM18)</f>
      </c>
      <c r="AQ18" s="2">
        <f>AVERAGE(D18,I18,N18,S18,X18,AC18,AH18,AM18)</f>
      </c>
      <c r="AR18">
        <f>RANK(AQ18,$AQ$4:$AQ$41,0)</f>
      </c>
      <c r="AS18">
        <v>459</v>
      </c>
      <c r="AT18" s="2">
        <v>57.4</v>
      </c>
      <c r="AU18">
        <v>16</v>
      </c>
      <c r="AV18">
        <f>IF(AND(AP18=AS18,ROUND(AQ18,1)=AT18,AR18=AU18),"✓","✗")</f>
      </c>
    </row>
    <row r="19">
      <c r="A19" t="s">
        <v>35</v>
      </c>
      <c r="B19">
        <v>24</v>
      </c>
      <c r="C19">
        <v>36</v>
      </c>
      <c r="D19">
        <f>SUM(B19:C19)</f>
      </c>
      <c r="E19">
        <f>LOOKUP(D19,{0,40,45,50,55,60,65,70,75},{"F9","E8","D7","C6","C5","C4","B3","B2","A1"})</f>
      </c>
      <c r="F19">
        <f>RANK(D19,$D$4:$D$41,0)</f>
      </c>
      <c r="G19">
        <v>17</v>
      </c>
      <c r="H19">
        <v>25</v>
      </c>
      <c r="I19">
        <f>SUM(G19:H19)</f>
      </c>
      <c r="J19">
        <f>LOOKUP(I19,{0,40,45,50,55,60,65,70,75},{"F9","E8","D7","C6","C5","C4","B3","B2","A1"})</f>
      </c>
      <c r="K19">
        <f>RANK(I19,$I$4:$I$41,0)</f>
      </c>
      <c r="L19">
        <v>27</v>
      </c>
      <c r="M19">
        <v>40</v>
      </c>
      <c r="N19">
        <f>SUM(L19:M19)</f>
      </c>
      <c r="O19">
        <f>LOOKUP(N19,{0,40,45,50,55,60,65,70,75},{"F9","E8","D7","C6","C5","C4","B3","B2","A1"})</f>
      </c>
      <c r="P19">
        <f>RANK(N19,$N$4:$N$41,0)</f>
      </c>
      <c r="Q19">
        <v>23</v>
      </c>
      <c r="R19">
        <v>35</v>
      </c>
      <c r="S19">
        <f>SUM(Q19:R19)</f>
      </c>
      <c r="T19">
        <f>LOOKUP(S19,{0,40,45,50,55,60,65,70,75},{"F9","E8","D7","C6","C5","C4","B3","B2","A1"})</f>
      </c>
      <c r="U19">
        <f>RANK(S19,$S$4:$S$41,0)</f>
      </c>
      <c r="V19">
        <v>22</v>
      </c>
      <c r="W19">
        <v>33</v>
      </c>
      <c r="X19">
        <f>SUM(V19:W19)</f>
      </c>
      <c r="Y19">
        <f>LOOKUP(X19,{0,40,45,50,55,60,65,70,75},{"F9","E8","D7","C6","C5","C4","B3","B2","A1"})</f>
      </c>
      <c r="Z19">
        <f>RANK(X19,$X$4:$X$41,0)</f>
      </c>
      <c r="AA19">
        <v>25</v>
      </c>
      <c r="AB19">
        <v>37</v>
      </c>
      <c r="AC19">
        <f>SUM(AA19:AB19)</f>
      </c>
      <c r="AD19">
        <f>LOOKUP(AC19,{0,40,45,50,55,60,65,70,75},{"F9","E8","D7","C6","C5","C4","B3","B2","A1"})</f>
      </c>
      <c r="AE19">
        <f>RANK(AC19,$AC$4:$AC$41,0)</f>
      </c>
      <c r="AF19">
        <v>23</v>
      </c>
      <c r="AG19">
        <v>35</v>
      </c>
      <c r="AH19">
        <f>SUM(AF19:AG19)</f>
      </c>
      <c r="AI19">
        <f>LOOKUP(AH19,{0,40,45,50,55,60,65,70,75},{"F9","E8","D7","C6","C5","C4","B3","B2","A1"})</f>
      </c>
      <c r="AJ19">
        <f>RANK(AH19,$AH$4:$AH$41,0)</f>
      </c>
      <c r="AK19">
        <v>23</v>
      </c>
      <c r="AL19">
        <v>35</v>
      </c>
      <c r="AM19">
        <f>SUM(AK19:AL19)</f>
      </c>
      <c r="AN19">
        <f>LOOKUP(AM19,{0,40,45,50,55,60,65,70,75},{"F9","E8","D7","C6","C5","C4","B3","B2","A1"})</f>
      </c>
      <c r="AO19">
        <f>RANK(AM19,$AM$4:$AM$41,0)</f>
      </c>
      <c r="AP19">
        <f>SUM(D19,I19,N19,S19,X19,AC19,AH19,AM19)</f>
      </c>
      <c r="AQ19" s="2">
        <f>AVERAGE(D19,I19,N19,S19,X19,AC19,AH19,AM19)</f>
      </c>
      <c r="AR19">
        <f>RANK(AQ19,$AQ$4:$AQ$41,0)</f>
      </c>
      <c r="AS19">
        <v>460</v>
      </c>
      <c r="AT19" s="2">
        <v>57.5</v>
      </c>
      <c r="AU19">
        <v>15</v>
      </c>
      <c r="AV19">
        <f>IF(AND(AP19=AS19,ROUND(AQ19,1)=AT19,AR19=AU19),"✓","✗")</f>
      </c>
    </row>
    <row r="20">
      <c r="A20" t="s">
        <v>36</v>
      </c>
      <c r="B20">
        <v>20</v>
      </c>
      <c r="C20">
        <v>29</v>
      </c>
      <c r="D20">
        <f>SUM(B20:C20)</f>
      </c>
      <c r="E20">
        <f>LOOKUP(D20,{0,40,45,50,55,60,65,70,75},{"F9","E8","D7","C6","C5","C4","B3","B2","A1"})</f>
      </c>
      <c r="F20">
        <f>RANK(D20,$D$4:$D$41,0)</f>
      </c>
      <c r="G20">
        <v>24</v>
      </c>
      <c r="H20">
        <v>37</v>
      </c>
      <c r="I20">
        <f>SUM(G20:H20)</f>
      </c>
      <c r="J20">
        <f>LOOKUP(I20,{0,40,45,50,55,60,65,70,75},{"F9","E8","D7","C6","C5","C4","B3","B2","A1"})</f>
      </c>
      <c r="K20">
        <f>RANK(I20,$I$4:$I$41,0)</f>
      </c>
      <c r="L20">
        <v>21</v>
      </c>
      <c r="M20">
        <v>32</v>
      </c>
      <c r="N20">
        <f>SUM(L20:M20)</f>
      </c>
      <c r="O20">
        <f>LOOKUP(N20,{0,40,45,50,55,60,65,70,75},{"F9","E8","D7","C6","C5","C4","B3","B2","A1"})</f>
      </c>
      <c r="P20">
        <f>RANK(N20,$N$4:$N$41,0)</f>
      </c>
      <c r="Q20">
        <v>24</v>
      </c>
      <c r="R20">
        <v>37</v>
      </c>
      <c r="S20">
        <f>SUM(Q20:R20)</f>
      </c>
      <c r="T20">
        <f>LOOKUP(S20,{0,40,45,50,55,60,65,70,75},{"F9","E8","D7","C6","C5","C4","B3","B2","A1"})</f>
      </c>
      <c r="U20">
        <f>RANK(S20,$S$4:$S$41,0)</f>
      </c>
      <c r="V20">
        <v>27</v>
      </c>
      <c r="W20">
        <v>41</v>
      </c>
      <c r="X20">
        <f>SUM(V20:W20)</f>
      </c>
      <c r="Y20">
        <f>LOOKUP(X20,{0,40,45,50,55,60,65,70,75},{"F9","E8","D7","C6","C5","C4","B3","B2","A1"})</f>
      </c>
      <c r="Z20">
        <f>RANK(X20,$X$4:$X$41,0)</f>
      </c>
      <c r="AA20">
        <v>28</v>
      </c>
      <c r="AB20">
        <v>41</v>
      </c>
      <c r="AC20">
        <f>SUM(AA20:AB20)</f>
      </c>
      <c r="AD20">
        <f>LOOKUP(AC20,{0,40,45,50,55,60,65,70,75},{"F9","E8","D7","C6","C5","C4","B3","B2","A1"})</f>
      </c>
      <c r="AE20">
        <f>RANK(AC20,$AC$4:$AC$41,0)</f>
      </c>
      <c r="AF20">
        <v>16</v>
      </c>
      <c r="AG20">
        <v>23</v>
      </c>
      <c r="AH20">
        <f>SUM(AF20:AG20)</f>
      </c>
      <c r="AI20">
        <f>LOOKUP(AH20,{0,40,45,50,55,60,65,70,75},{"F9","E8","D7","C6","C5","C4","B3","B2","A1"})</f>
      </c>
      <c r="AJ20">
        <f>RANK(AH20,$AH$4:$AH$41,0)</f>
      </c>
      <c r="AK20">
        <v>17</v>
      </c>
      <c r="AL20">
        <v>25</v>
      </c>
      <c r="AM20">
        <f>SUM(AK20:AL20)</f>
      </c>
      <c r="AN20">
        <f>LOOKUP(AM20,{0,40,45,50,55,60,65,70,75},{"F9","E8","D7","C6","C5","C4","B3","B2","A1"})</f>
      </c>
      <c r="AO20">
        <f>RANK(AM20,$AM$4:$AM$41,0)</f>
      </c>
      <c r="AP20">
        <f>SUM(D20,I20,N20,S20,X20,AC20,AH20,AM20)</f>
      </c>
      <c r="AQ20" s="2">
        <f>AVERAGE(D20,I20,N20,S20,X20,AC20,AH20,AM20)</f>
      </c>
      <c r="AR20">
        <f>RANK(AQ20,$AQ$4:$AQ$41,0)</f>
      </c>
      <c r="AS20">
        <v>442</v>
      </c>
      <c r="AT20" s="2">
        <v>55.3</v>
      </c>
      <c r="AU20">
        <v>28</v>
      </c>
      <c r="AV20">
        <f>IF(AND(AP20=AS20,ROUND(AQ20,1)=AT20,AR20=AU20),"✓","✗")</f>
      </c>
    </row>
    <row r="21">
      <c r="A21" t="s">
        <v>37</v>
      </c>
      <c r="B21">
        <v>21</v>
      </c>
      <c r="C21">
        <v>32</v>
      </c>
      <c r="D21">
        <f>SUM(B21:C21)</f>
      </c>
      <c r="E21">
        <f>LOOKUP(D21,{0,40,45,50,55,60,65,70,75},{"F9","E8","D7","C6","C5","C4","B3","B2","A1"})</f>
      </c>
      <c r="F21">
        <f>RANK(D21,$D$4:$D$41,0)</f>
      </c>
      <c r="G21">
        <v>18</v>
      </c>
      <c r="H21">
        <v>26</v>
      </c>
      <c r="I21">
        <f>SUM(G21:H21)</f>
      </c>
      <c r="J21">
        <f>LOOKUP(I21,{0,40,45,50,55,60,65,70,75},{"F9","E8","D7","C6","C5","C4","B3","B2","A1"})</f>
      </c>
      <c r="K21">
        <f>RANK(I21,$I$4:$I$41,0)</f>
      </c>
      <c r="L21">
        <v>28</v>
      </c>
      <c r="M21">
        <v>41</v>
      </c>
      <c r="N21">
        <f>SUM(L21:M21)</f>
      </c>
      <c r="O21">
        <f>LOOKUP(N21,{0,40,45,50,55,60,65,70,75},{"F9","E8","D7","C6","C5","C4","B3","B2","A1"})</f>
      </c>
      <c r="P21">
        <f>RANK(N21,$N$4:$N$41,0)</f>
      </c>
      <c r="Q21">
        <v>18</v>
      </c>
      <c r="R21">
        <v>27</v>
      </c>
      <c r="S21">
        <f>SUM(Q21:R21)</f>
      </c>
      <c r="T21">
        <f>LOOKUP(S21,{0,40,45,50,55,60,65,70,75},{"F9","E8","D7","C6","C5","C4","B3","B2","A1"})</f>
      </c>
      <c r="U21">
        <f>RANK(S21,$S$4:$S$41,0)</f>
      </c>
      <c r="V21">
        <v>27</v>
      </c>
      <c r="W21">
        <v>40</v>
      </c>
      <c r="X21">
        <f>SUM(V21:W21)</f>
      </c>
      <c r="Y21">
        <f>LOOKUP(X21,{0,40,45,50,55,60,65,70,75},{"F9","E8","D7","C6","C5","C4","B3","B2","A1"})</f>
      </c>
      <c r="Z21">
        <f>RANK(X21,$X$4:$X$41,0)</f>
      </c>
      <c r="AA21">
        <v>24</v>
      </c>
      <c r="AB21">
        <v>35</v>
      </c>
      <c r="AC21">
        <f>SUM(AA21:AB21)</f>
      </c>
      <c r="AD21">
        <f>LOOKUP(AC21,{0,40,45,50,55,60,65,70,75},{"F9","E8","D7","C6","C5","C4","B3","B2","A1"})</f>
      </c>
      <c r="AE21">
        <f>RANK(AC21,$AC$4:$AC$41,0)</f>
      </c>
      <c r="AF21">
        <v>19</v>
      </c>
      <c r="AG21">
        <v>28</v>
      </c>
      <c r="AH21">
        <f>SUM(AF21:AG21)</f>
      </c>
      <c r="AI21">
        <f>LOOKUP(AH21,{0,40,45,50,55,60,65,70,75},{"F9","E8","D7","C6","C5","C4","B3","B2","A1"})</f>
      </c>
      <c r="AJ21">
        <f>RANK(AH21,$AH$4:$AH$41,0)</f>
      </c>
      <c r="AK21">
        <v>26</v>
      </c>
      <c r="AL21">
        <v>38</v>
      </c>
      <c r="AM21">
        <f>SUM(AK21:AL21)</f>
      </c>
      <c r="AN21">
        <f>LOOKUP(AM21,{0,40,45,50,55,60,65,70,75},{"F9","E8","D7","C6","C5","C4","B3","B2","A1"})</f>
      </c>
      <c r="AO21">
        <f>RANK(AM21,$AM$4:$AM$41,0)</f>
      </c>
      <c r="AP21">
        <f>SUM(D21,I21,N21,S21,X21,AC21,AH21,AM21)</f>
      </c>
      <c r="AQ21" s="2">
        <f>AVERAGE(D21,I21,N21,S21,X21,AC21,AH21,AM21)</f>
      </c>
      <c r="AR21">
        <f>RANK(AQ21,$AQ$4:$AQ$41,0)</f>
      </c>
      <c r="AS21">
        <v>448</v>
      </c>
      <c r="AT21" s="2">
        <v>56</v>
      </c>
      <c r="AU21">
        <v>22</v>
      </c>
      <c r="AV21">
        <f>IF(AND(AP21=AS21,ROUND(AQ21,1)=AT21,AR21=AU21),"✓","✗")</f>
      </c>
    </row>
    <row r="22">
      <c r="A22" t="s">
        <v>38</v>
      </c>
      <c r="B22">
        <v>26</v>
      </c>
      <c r="C22">
        <v>38</v>
      </c>
      <c r="D22">
        <f>SUM(B22:C22)</f>
      </c>
      <c r="E22">
        <f>LOOKUP(D22,{0,40,45,50,55,60,65,70,75},{"F9","E8","D7","C6","C5","C4","B3","B2","A1"})</f>
      </c>
      <c r="F22">
        <f>RANK(D22,$D$4:$D$41,0)</f>
      </c>
      <c r="G22">
        <v>17</v>
      </c>
      <c r="H22">
        <v>26</v>
      </c>
      <c r="I22">
        <f>SUM(G22:H22)</f>
      </c>
      <c r="J22">
        <f>LOOKUP(I22,{0,40,45,50,55,60,65,70,75},{"F9","E8","D7","C6","C5","C4","B3","B2","A1"})</f>
      </c>
      <c r="K22">
        <f>RANK(I22,$I$4:$I$41,0)</f>
      </c>
      <c r="L22">
        <v>28</v>
      </c>
      <c r="M22">
        <v>41</v>
      </c>
      <c r="N22">
        <f>SUM(L22:M22)</f>
      </c>
      <c r="O22">
        <f>LOOKUP(N22,{0,40,45,50,55,60,65,70,75},{"F9","E8","D7","C6","C5","C4","B3","B2","A1"})</f>
      </c>
      <c r="P22">
        <f>RANK(N22,$N$4:$N$41,0)</f>
      </c>
      <c r="Q22">
        <v>24</v>
      </c>
      <c r="R22">
        <v>37</v>
      </c>
      <c r="S22">
        <f>SUM(Q22:R22)</f>
      </c>
      <c r="T22">
        <f>LOOKUP(S22,{0,40,45,50,55,60,65,70,75},{"F9","E8","D7","C6","C5","C4","B3","B2","A1"})</f>
      </c>
      <c r="U22">
        <f>RANK(S22,$S$4:$S$41,0)</f>
      </c>
      <c r="V22">
        <v>22</v>
      </c>
      <c r="W22">
        <v>33</v>
      </c>
      <c r="X22">
        <f>SUM(V22:W22)</f>
      </c>
      <c r="Y22">
        <f>LOOKUP(X22,{0,40,45,50,55,60,65,70,75},{"F9","E8","D7","C6","C5","C4","B3","B2","A1"})</f>
      </c>
      <c r="Z22">
        <f>RANK(X22,$X$4:$X$41,0)</f>
      </c>
      <c r="AA22">
        <v>22</v>
      </c>
      <c r="AB22">
        <v>32</v>
      </c>
      <c r="AC22">
        <f>SUM(AA22:AB22)</f>
      </c>
      <c r="AD22">
        <f>LOOKUP(AC22,{0,40,45,50,55,60,65,70,75},{"F9","E8","D7","C6","C5","C4","B3","B2","A1"})</f>
      </c>
      <c r="AE22">
        <f>RANK(AC22,$AC$4:$AC$41,0)</f>
      </c>
      <c r="AF22">
        <v>18</v>
      </c>
      <c r="AG22">
        <v>26</v>
      </c>
      <c r="AH22">
        <f>SUM(AF22:AG22)</f>
      </c>
      <c r="AI22">
        <f>LOOKUP(AH22,{0,40,45,50,55,60,65,70,75},{"F9","E8","D7","C6","C5","C4","B3","B2","A1"})</f>
      </c>
      <c r="AJ22">
        <f>RANK(AH22,$AH$4:$AH$41,0)</f>
      </c>
      <c r="AK22">
        <v>20</v>
      </c>
      <c r="AL22">
        <v>30</v>
      </c>
      <c r="AM22">
        <f>SUM(AK22:AL22)</f>
      </c>
      <c r="AN22">
        <f>LOOKUP(AM22,{0,40,45,50,55,60,65,70,75},{"F9","E8","D7","C6","C5","C4","B3","B2","A1"})</f>
      </c>
      <c r="AO22">
        <f>RANK(AM22,$AM$4:$AM$41,0)</f>
      </c>
      <c r="AP22">
        <f>SUM(D22,I22,N22,S22,X22,AC22,AH22,AM22)</f>
      </c>
      <c r="AQ22" s="2">
        <f>AVERAGE(D22,I22,N22,S22,X22,AC22,AH22,AM22)</f>
      </c>
      <c r="AR22">
        <f>RANK(AQ22,$AQ$4:$AQ$41,0)</f>
      </c>
      <c r="AS22">
        <v>440</v>
      </c>
      <c r="AT22" s="2">
        <v>55</v>
      </c>
      <c r="AU22">
        <v>29</v>
      </c>
      <c r="AV22">
        <f>IF(AND(AP22=AS22,ROUND(AQ22,1)=AT22,AR22=AU22),"✓","✗")</f>
      </c>
    </row>
    <row r="23">
      <c r="A23" t="s">
        <v>39</v>
      </c>
      <c r="B23">
        <v>23</v>
      </c>
      <c r="C23">
        <v>34</v>
      </c>
      <c r="D23">
        <f>SUM(B23:C23)</f>
      </c>
      <c r="E23">
        <f>LOOKUP(D23,{0,40,45,50,55,60,65,70,75},{"F9","E8","D7","C6","C5","C4","B3","B2","A1"})</f>
      </c>
      <c r="F23">
        <f>RANK(D23,$D$4:$D$41,0)</f>
      </c>
      <c r="G23">
        <v>20</v>
      </c>
      <c r="H23">
        <v>30</v>
      </c>
      <c r="I23">
        <f>SUM(G23:H23)</f>
      </c>
      <c r="J23">
        <f>LOOKUP(I23,{0,40,45,50,55,60,65,70,75},{"F9","E8","D7","C6","C5","C4","B3","B2","A1"})</f>
      </c>
      <c r="K23">
        <f>RANK(I23,$I$4:$I$41,0)</f>
      </c>
      <c r="L23">
        <v>20</v>
      </c>
      <c r="M23">
        <v>31</v>
      </c>
      <c r="N23">
        <f>SUM(L23:M23)</f>
      </c>
      <c r="O23">
        <f>LOOKUP(N23,{0,40,45,50,55,60,65,70,75},{"F9","E8","D7","C6","C5","C4","B3","B2","A1"})</f>
      </c>
      <c r="P23">
        <f>RANK(N23,$N$4:$N$41,0)</f>
      </c>
      <c r="Q23">
        <v>17</v>
      </c>
      <c r="R23">
        <v>26</v>
      </c>
      <c r="S23">
        <f>SUM(Q23:R23)</f>
      </c>
      <c r="T23">
        <f>LOOKUP(S23,{0,40,45,50,55,60,65,70,75},{"F9","E8","D7","C6","C5","C4","B3","B2","A1"})</f>
      </c>
      <c r="U23">
        <f>RANK(S23,$S$4:$S$41,0)</f>
      </c>
      <c r="V23">
        <v>22</v>
      </c>
      <c r="W23">
        <v>34</v>
      </c>
      <c r="X23">
        <f>SUM(V23:W23)</f>
      </c>
      <c r="Y23">
        <f>LOOKUP(X23,{0,40,45,50,55,60,65,70,75},{"F9","E8","D7","C6","C5","C4","B3","B2","A1"})</f>
      </c>
      <c r="Z23">
        <f>RANK(X23,$X$4:$X$41,0)</f>
      </c>
      <c r="AA23">
        <v>26</v>
      </c>
      <c r="AB23">
        <v>39</v>
      </c>
      <c r="AC23">
        <f>SUM(AA23:AB23)</f>
      </c>
      <c r="AD23">
        <f>LOOKUP(AC23,{0,40,45,50,55,60,65,70,75},{"F9","E8","D7","C6","C5","C4","B3","B2","A1"})</f>
      </c>
      <c r="AE23">
        <f>RANK(AC23,$AC$4:$AC$41,0)</f>
      </c>
      <c r="AF23">
        <v>24</v>
      </c>
      <c r="AG23">
        <v>35</v>
      </c>
      <c r="AH23">
        <f>SUM(AF23:AG23)</f>
      </c>
      <c r="AI23">
        <f>LOOKUP(AH23,{0,40,45,50,55,60,65,70,75},{"F9","E8","D7","C6","C5","C4","B3","B2","A1"})</f>
      </c>
      <c r="AJ23">
        <f>RANK(AH23,$AH$4:$AH$41,0)</f>
      </c>
      <c r="AK23">
        <v>26</v>
      </c>
      <c r="AL23">
        <v>38</v>
      </c>
      <c r="AM23">
        <f>SUM(AK23:AL23)</f>
      </c>
      <c r="AN23">
        <f>LOOKUP(AM23,{0,40,45,50,55,60,65,70,75},{"F9","E8","D7","C6","C5","C4","B3","B2","A1"})</f>
      </c>
      <c r="AO23">
        <f>RANK(AM23,$AM$4:$AM$41,0)</f>
      </c>
      <c r="AP23">
        <f>SUM(D23,I23,N23,S23,X23,AC23,AH23,AM23)</f>
      </c>
      <c r="AQ23" s="2">
        <f>AVERAGE(D23,I23,N23,S23,X23,AC23,AH23,AM23)</f>
      </c>
      <c r="AR23">
        <f>RANK(AQ23,$AQ$4:$AQ$41,0)</f>
      </c>
      <c r="AS23">
        <v>445</v>
      </c>
      <c r="AT23" s="2">
        <v>55.6</v>
      </c>
      <c r="AU23">
        <v>25</v>
      </c>
      <c r="AV23">
        <f>IF(AND(AP23=AS23,ROUND(AQ23,1)=AT23,AR23=AU23),"✓","✗")</f>
      </c>
    </row>
    <row r="24">
      <c r="A24" t="s">
        <v>40</v>
      </c>
      <c r="B24">
        <v>22</v>
      </c>
      <c r="C24">
        <v>32</v>
      </c>
      <c r="D24">
        <f>SUM(B24:C24)</f>
      </c>
      <c r="E24">
        <f>LOOKUP(D24,{0,40,45,50,55,60,65,70,75},{"F9","E8","D7","C6","C5","C4","B3","B2","A1"})</f>
      </c>
      <c r="F24">
        <f>RANK(D24,$D$4:$D$41,0)</f>
      </c>
      <c r="G24">
        <v>20</v>
      </c>
      <c r="H24">
        <v>29</v>
      </c>
      <c r="I24">
        <f>SUM(G24:H24)</f>
      </c>
      <c r="J24">
        <f>LOOKUP(I24,{0,40,45,50,55,60,65,70,75},{"F9","E8","D7","C6","C5","C4","B3","B2","A1"})</f>
      </c>
      <c r="K24">
        <f>RANK(I24,$I$4:$I$41,0)</f>
      </c>
      <c r="L24">
        <v>23</v>
      </c>
      <c r="M24">
        <v>35</v>
      </c>
      <c r="N24">
        <f>SUM(L24:M24)</f>
      </c>
      <c r="O24">
        <f>LOOKUP(N24,{0,40,45,50,55,60,65,70,75},{"F9","E8","D7","C6","C5","C4","B3","B2","A1"})</f>
      </c>
      <c r="P24">
        <f>RANK(N24,$N$4:$N$41,0)</f>
      </c>
      <c r="Q24">
        <v>23</v>
      </c>
      <c r="R24">
        <v>35</v>
      </c>
      <c r="S24">
        <f>SUM(Q24:R24)</f>
      </c>
      <c r="T24">
        <f>LOOKUP(S24,{0,40,45,50,55,60,65,70,75},{"F9","E8","D7","C6","C5","C4","B3","B2","A1"})</f>
      </c>
      <c r="U24">
        <f>RANK(S24,$S$4:$S$41,0)</f>
      </c>
      <c r="V24">
        <v>28</v>
      </c>
      <c r="W24">
        <v>41</v>
      </c>
      <c r="X24">
        <f>SUM(V24:W24)</f>
      </c>
      <c r="Y24">
        <f>LOOKUP(X24,{0,40,45,50,55,60,65,70,75},{"F9","E8","D7","C6","C5","C4","B3","B2","A1"})</f>
      </c>
      <c r="Z24">
        <f>RANK(X24,$X$4:$X$41,0)</f>
      </c>
      <c r="AA24">
        <v>21</v>
      </c>
      <c r="AB24">
        <v>31</v>
      </c>
      <c r="AC24">
        <f>SUM(AA24:AB24)</f>
      </c>
      <c r="AD24">
        <f>LOOKUP(AC24,{0,40,45,50,55,60,65,70,75},{"F9","E8","D7","C6","C5","C4","B3","B2","A1"})</f>
      </c>
      <c r="AE24">
        <f>RANK(AC24,$AC$4:$AC$41,0)</f>
      </c>
      <c r="AF24">
        <v>17</v>
      </c>
      <c r="AG24">
        <v>26</v>
      </c>
      <c r="AH24">
        <f>SUM(AF24:AG24)</f>
      </c>
      <c r="AI24">
        <f>LOOKUP(AH24,{0,40,45,50,55,60,65,70,75},{"F9","E8","D7","C6","C5","C4","B3","B2","A1"})</f>
      </c>
      <c r="AJ24">
        <f>RANK(AH24,$AH$4:$AH$41,0)</f>
      </c>
      <c r="AK24">
        <v>20</v>
      </c>
      <c r="AL24">
        <v>29</v>
      </c>
      <c r="AM24">
        <f>SUM(AK24:AL24)</f>
      </c>
      <c r="AN24">
        <f>LOOKUP(AM24,{0,40,45,50,55,60,65,70,75},{"F9","E8","D7","C6","C5","C4","B3","B2","A1"})</f>
      </c>
      <c r="AO24">
        <f>RANK(AM24,$AM$4:$AM$41,0)</f>
      </c>
      <c r="AP24">
        <f>SUM(D24,I24,N24,S24,X24,AC24,AH24,AM24)</f>
      </c>
      <c r="AQ24" s="2">
        <f>AVERAGE(D24,I24,N24,S24,X24,AC24,AH24,AM24)</f>
      </c>
      <c r="AR24">
        <f>RANK(AQ24,$AQ$4:$AQ$41,0)</f>
      </c>
      <c r="AS24">
        <v>432</v>
      </c>
      <c r="AT24" s="2">
        <v>54</v>
      </c>
      <c r="AU24">
        <v>34</v>
      </c>
      <c r="AV24">
        <f>IF(AND(AP24=AS24,ROUND(AQ24,1)=AT24,AR24=AU24),"✓","✗")</f>
      </c>
    </row>
    <row r="25">
      <c r="A25" t="s">
        <v>41</v>
      </c>
      <c r="B25">
        <v>24</v>
      </c>
      <c r="C25">
        <v>35</v>
      </c>
      <c r="D25">
        <f>SUM(B25:C25)</f>
      </c>
      <c r="E25">
        <f>LOOKUP(D25,{0,40,45,50,55,60,65,70,75},{"F9","E8","D7","C6","C5","C4","B3","B2","A1"})</f>
      </c>
      <c r="F25">
        <f>RANK(D25,$D$4:$D$41,0)</f>
      </c>
      <c r="G25">
        <v>24</v>
      </c>
      <c r="H25">
        <v>37</v>
      </c>
      <c r="I25">
        <f>SUM(G25:H25)</f>
      </c>
      <c r="J25">
        <f>LOOKUP(I25,{0,40,45,50,55,60,65,70,75},{"F9","E8","D7","C6","C5","C4","B3","B2","A1"})</f>
      </c>
      <c r="K25">
        <f>RANK(I25,$I$4:$I$41,0)</f>
      </c>
      <c r="L25">
        <v>24</v>
      </c>
      <c r="M25">
        <v>37</v>
      </c>
      <c r="N25">
        <f>SUM(L25:M25)</f>
      </c>
      <c r="O25">
        <f>LOOKUP(N25,{0,40,45,50,55,60,65,70,75},{"F9","E8","D7","C6","C5","C4","B3","B2","A1"})</f>
      </c>
      <c r="P25">
        <f>RANK(N25,$N$4:$N$41,0)</f>
      </c>
      <c r="Q25">
        <v>20</v>
      </c>
      <c r="R25">
        <v>29</v>
      </c>
      <c r="S25">
        <f>SUM(Q25:R25)</f>
      </c>
      <c r="T25">
        <f>LOOKUP(S25,{0,40,45,50,55,60,65,70,75},{"F9","E8","D7","C6","C5","C4","B3","B2","A1"})</f>
      </c>
      <c r="U25">
        <f>RANK(S25,$S$4:$S$41,0)</f>
      </c>
      <c r="V25">
        <v>28</v>
      </c>
      <c r="W25">
        <v>41</v>
      </c>
      <c r="X25">
        <f>SUM(V25:W25)</f>
      </c>
      <c r="Y25">
        <f>LOOKUP(X25,{0,40,45,50,55,60,65,70,75},{"F9","E8","D7","C6","C5","C4","B3","B2","A1"})</f>
      </c>
      <c r="Z25">
        <f>RANK(X25,$X$4:$X$41,0)</f>
      </c>
      <c r="AA25">
        <v>23</v>
      </c>
      <c r="AB25">
        <v>35</v>
      </c>
      <c r="AC25">
        <f>SUM(AA25:AB25)</f>
      </c>
      <c r="AD25">
        <f>LOOKUP(AC25,{0,40,45,50,55,60,65,70,75},{"F9","E8","D7","C6","C5","C4","B3","B2","A1"})</f>
      </c>
      <c r="AE25">
        <f>RANK(AC25,$AC$4:$AC$41,0)</f>
      </c>
      <c r="AF25">
        <v>22</v>
      </c>
      <c r="AG25">
        <v>33</v>
      </c>
      <c r="AH25">
        <f>SUM(AF25:AG25)</f>
      </c>
      <c r="AI25">
        <f>LOOKUP(AH25,{0,40,45,50,55,60,65,70,75},{"F9","E8","D7","C6","C5","C4","B3","B2","A1"})</f>
      </c>
      <c r="AJ25">
        <f>RANK(AH25,$AH$4:$AH$41,0)</f>
      </c>
      <c r="AK25">
        <v>22</v>
      </c>
      <c r="AL25">
        <v>32</v>
      </c>
      <c r="AM25">
        <f>SUM(AK25:AL25)</f>
      </c>
      <c r="AN25">
        <f>LOOKUP(AM25,{0,40,45,50,55,60,65,70,75},{"F9","E8","D7","C6","C5","C4","B3","B2","A1"})</f>
      </c>
      <c r="AO25">
        <f>RANK(AM25,$AM$4:$AM$41,0)</f>
      </c>
      <c r="AP25">
        <f>SUM(D25,I25,N25,S25,X25,AC25,AH25,AM25)</f>
      </c>
      <c r="AQ25" s="2">
        <f>AVERAGE(D25,I25,N25,S25,X25,AC25,AH25,AM25)</f>
      </c>
      <c r="AR25">
        <f>RANK(AQ25,$AQ$4:$AQ$41,0)</f>
      </c>
      <c r="AS25">
        <v>466</v>
      </c>
      <c r="AT25" s="2">
        <v>58.3</v>
      </c>
      <c r="AU25">
        <v>12</v>
      </c>
      <c r="AV25">
        <f>IF(AND(AP25=AS25,ROUND(AQ25,1)=AT25,AR25=AU25),"✓","✗")</f>
      </c>
    </row>
    <row r="26">
      <c r="A26" t="s">
        <v>42</v>
      </c>
      <c r="B26">
        <v>26</v>
      </c>
      <c r="C26">
        <v>40</v>
      </c>
      <c r="D26">
        <f>SUM(B26:C26)</f>
      </c>
      <c r="E26">
        <f>LOOKUP(D26,{0,40,45,50,55,60,65,70,75},{"F9","E8","D7","C6","C5","C4","B3","B2","A1"})</f>
      </c>
      <c r="F26">
        <f>RANK(D26,$D$4:$D$41,0)</f>
      </c>
      <c r="G26">
        <v>19</v>
      </c>
      <c r="H26">
        <v>28</v>
      </c>
      <c r="I26">
        <f>SUM(G26:H26)</f>
      </c>
      <c r="J26">
        <f>LOOKUP(I26,{0,40,45,50,55,60,65,70,75},{"F9","E8","D7","C6","C5","C4","B3","B2","A1"})</f>
      </c>
      <c r="K26">
        <f>RANK(I26,$I$4:$I$41,0)</f>
      </c>
      <c r="L26">
        <v>22</v>
      </c>
      <c r="M26">
        <v>32</v>
      </c>
      <c r="N26">
        <f>SUM(L26:M26)</f>
      </c>
      <c r="O26">
        <f>LOOKUP(N26,{0,40,45,50,55,60,65,70,75},{"F9","E8","D7","C6","C5","C4","B3","B2","A1"})</f>
      </c>
      <c r="P26">
        <f>RANK(N26,$N$4:$N$41,0)</f>
      </c>
      <c r="Q26">
        <v>20</v>
      </c>
      <c r="R26">
        <v>29</v>
      </c>
      <c r="S26">
        <f>SUM(Q26:R26)</f>
      </c>
      <c r="T26">
        <f>LOOKUP(S26,{0,40,45,50,55,60,65,70,75},{"F9","E8","D7","C6","C5","C4","B3","B2","A1"})</f>
      </c>
      <c r="U26">
        <f>RANK(S26,$S$4:$S$41,0)</f>
      </c>
      <c r="V26">
        <v>26</v>
      </c>
      <c r="W26">
        <v>40</v>
      </c>
      <c r="X26">
        <f>SUM(V26:W26)</f>
      </c>
      <c r="Y26">
        <f>LOOKUP(X26,{0,40,45,50,55,60,65,70,75},{"F9","E8","D7","C6","C5","C4","B3","B2","A1"})</f>
      </c>
      <c r="Z26">
        <f>RANK(X26,$X$4:$X$41,0)</f>
      </c>
      <c r="AA26">
        <v>28</v>
      </c>
      <c r="AB26">
        <v>41</v>
      </c>
      <c r="AC26">
        <f>SUM(AA26:AB26)</f>
      </c>
      <c r="AD26">
        <f>LOOKUP(AC26,{0,40,45,50,55,60,65,70,75},{"F9","E8","D7","C6","C5","C4","B3","B2","A1"})</f>
      </c>
      <c r="AE26">
        <f>RANK(AC26,$AC$4:$AC$41,0)</f>
      </c>
      <c r="AF26">
        <v>16</v>
      </c>
      <c r="AG26">
        <v>23</v>
      </c>
      <c r="AH26">
        <f>SUM(AF26:AG26)</f>
      </c>
      <c r="AI26">
        <f>LOOKUP(AH26,{0,40,45,50,55,60,65,70,75},{"F9","E8","D7","C6","C5","C4","B3","B2","A1"})</f>
      </c>
      <c r="AJ26">
        <f>RANK(AH26,$AH$4:$AH$41,0)</f>
      </c>
      <c r="AK26">
        <v>24</v>
      </c>
      <c r="AL26">
        <v>36</v>
      </c>
      <c r="AM26">
        <f>SUM(AK26:AL26)</f>
      </c>
      <c r="AN26">
        <f>LOOKUP(AM26,{0,40,45,50,55,60,65,70,75},{"F9","E8","D7","C6","C5","C4","B3","B2","A1"})</f>
      </c>
      <c r="AO26">
        <f>RANK(AM26,$AM$4:$AM$41,0)</f>
      </c>
      <c r="AP26">
        <f>SUM(D26,I26,N26,S26,X26,AC26,AH26,AM26)</f>
      </c>
      <c r="AQ26" s="2">
        <f>AVERAGE(D26,I26,N26,S26,X26,AC26,AH26,AM26)</f>
      </c>
      <c r="AR26">
        <f>RANK(AQ26,$AQ$4:$AQ$41,0)</f>
      </c>
      <c r="AS26">
        <v>450</v>
      </c>
      <c r="AT26" s="2">
        <v>56.3</v>
      </c>
      <c r="AU26">
        <v>21</v>
      </c>
      <c r="AV26">
        <f>IF(AND(AP26=AS26,ROUND(AQ26,1)=AT26,AR26=AU26),"✓","✗")</f>
      </c>
    </row>
    <row r="27">
      <c r="A27" t="s">
        <v>43</v>
      </c>
      <c r="B27">
        <v>21</v>
      </c>
      <c r="C27">
        <v>32</v>
      </c>
      <c r="D27">
        <f>SUM(B27:C27)</f>
      </c>
      <c r="E27">
        <f>LOOKUP(D27,{0,40,45,50,55,60,65,70,75},{"F9","E8","D7","C6","C5","C4","B3","B2","A1"})</f>
      </c>
      <c r="F27">
        <f>RANK(D27,$D$4:$D$41,0)</f>
      </c>
      <c r="G27">
        <v>24</v>
      </c>
      <c r="H27">
        <v>37</v>
      </c>
      <c r="I27">
        <f>SUM(G27:H27)</f>
      </c>
      <c r="J27">
        <f>LOOKUP(I27,{0,40,45,50,55,60,65,70,75},{"F9","E8","D7","C6","C5","C4","B3","B2","A1"})</f>
      </c>
      <c r="K27">
        <f>RANK(I27,$I$4:$I$41,0)</f>
      </c>
      <c r="L27">
        <v>23</v>
      </c>
      <c r="M27">
        <v>35</v>
      </c>
      <c r="N27">
        <f>SUM(L27:M27)</f>
      </c>
      <c r="O27">
        <f>LOOKUP(N27,{0,40,45,50,55,60,65,70,75},{"F9","E8","D7","C6","C5","C4","B3","B2","A1"})</f>
      </c>
      <c r="P27">
        <f>RANK(N27,$N$4:$N$41,0)</f>
      </c>
      <c r="Q27">
        <v>24</v>
      </c>
      <c r="R27">
        <v>35</v>
      </c>
      <c r="S27">
        <f>SUM(Q27:R27)</f>
      </c>
      <c r="T27">
        <f>LOOKUP(S27,{0,40,45,50,55,60,65,70,75},{"F9","E8","D7","C6","C5","C4","B3","B2","A1"})</f>
      </c>
      <c r="U27">
        <f>RANK(S27,$S$4:$S$41,0)</f>
      </c>
      <c r="V27">
        <v>26</v>
      </c>
      <c r="W27">
        <v>39</v>
      </c>
      <c r="X27">
        <f>SUM(V27:W27)</f>
      </c>
      <c r="Y27">
        <f>LOOKUP(X27,{0,40,45,50,55,60,65,70,75},{"F9","E8","D7","C6","C5","C4","B3","B2","A1"})</f>
      </c>
      <c r="Z27">
        <f>RANK(X27,$X$4:$X$41,0)</f>
      </c>
      <c r="AA27">
        <v>25</v>
      </c>
      <c r="AB27">
        <v>38</v>
      </c>
      <c r="AC27">
        <f>SUM(AA27:AB27)</f>
      </c>
      <c r="AD27">
        <f>LOOKUP(AC27,{0,40,45,50,55,60,65,70,75},{"F9","E8","D7","C6","C5","C4","B3","B2","A1"})</f>
      </c>
      <c r="AE27">
        <f>RANK(AC27,$AC$4:$AC$41,0)</f>
      </c>
      <c r="AF27">
        <v>24</v>
      </c>
      <c r="AG27">
        <v>36</v>
      </c>
      <c r="AH27">
        <f>SUM(AF27:AG27)</f>
      </c>
      <c r="AI27">
        <f>LOOKUP(AH27,{0,40,45,50,55,60,65,70,75},{"F9","E8","D7","C6","C5","C4","B3","B2","A1"})</f>
      </c>
      <c r="AJ27">
        <f>RANK(AH27,$AH$4:$AH$41,0)</f>
      </c>
      <c r="AK27">
        <v>24</v>
      </c>
      <c r="AL27">
        <v>35</v>
      </c>
      <c r="AM27">
        <f>SUM(AK27:AL27)</f>
      </c>
      <c r="AN27">
        <f>LOOKUP(AM27,{0,40,45,50,55,60,65,70,75},{"F9","E8","D7","C6","C5","C4","B3","B2","A1"})</f>
      </c>
      <c r="AO27">
        <f>RANK(AM27,$AM$4:$AM$41,0)</f>
      </c>
      <c r="AP27">
        <f>SUM(D27,I27,N27,S27,X27,AC27,AH27,AM27)</f>
      </c>
      <c r="AQ27" s="2">
        <f>AVERAGE(D27,I27,N27,S27,X27,AC27,AH27,AM27)</f>
      </c>
      <c r="AR27">
        <f>RANK(AQ27,$AQ$4:$AQ$41,0)</f>
      </c>
      <c r="AS27">
        <v>478</v>
      </c>
      <c r="AT27" s="2">
        <v>59.8</v>
      </c>
      <c r="AU27">
        <v>8</v>
      </c>
      <c r="AV27">
        <f>IF(AND(AP27=AS27,ROUND(AQ27,1)=AT27,AR27=AU27),"✓","✗")</f>
      </c>
    </row>
    <row r="28">
      <c r="A28" t="s">
        <v>44</v>
      </c>
      <c r="B28">
        <v>33</v>
      </c>
      <c r="C28">
        <v>49</v>
      </c>
      <c r="D28">
        <f>SUM(B28:C28)</f>
      </c>
      <c r="E28">
        <f>LOOKUP(D28,{0,40,45,50,55,60,65,70,75},{"F9","E8","D7","C6","C5","C4","B3","B2","A1"})</f>
      </c>
      <c r="F28">
        <f>RANK(D28,$D$4:$D$41,0)</f>
      </c>
      <c r="G28">
        <v>37</v>
      </c>
      <c r="H28">
        <v>55</v>
      </c>
      <c r="I28">
        <f>SUM(G28:H28)</f>
      </c>
      <c r="J28">
        <f>LOOKUP(I28,{0,40,45,50,55,60,65,70,75},{"F9","E8","D7","C6","C5","C4","B3","B2","A1"})</f>
      </c>
      <c r="K28">
        <f>RANK(I28,$I$4:$I$41,0)</f>
      </c>
      <c r="L28">
        <v>32</v>
      </c>
      <c r="M28">
        <v>49</v>
      </c>
      <c r="N28">
        <f>SUM(L28:M28)</f>
      </c>
      <c r="O28">
        <f>LOOKUP(N28,{0,40,45,50,55,60,65,70,75},{"F9","E8","D7","C6","C5","C4","B3","B2","A1"})</f>
      </c>
      <c r="P28">
        <f>RANK(N28,$N$4:$N$41,0)</f>
      </c>
      <c r="Q28">
        <v>29</v>
      </c>
      <c r="R28">
        <v>43</v>
      </c>
      <c r="S28">
        <f>SUM(Q28:R28)</f>
      </c>
      <c r="T28">
        <f>LOOKUP(S28,{0,40,45,50,55,60,65,70,75},{"F9","E8","D7","C6","C5","C4","B3","B2","A1"})</f>
      </c>
      <c r="U28">
        <f>RANK(S28,$S$4:$S$41,0)</f>
      </c>
      <c r="V28">
        <v>35</v>
      </c>
      <c r="W28">
        <v>53</v>
      </c>
      <c r="X28">
        <f>SUM(V28:W28)</f>
      </c>
      <c r="Y28">
        <f>LOOKUP(X28,{0,40,45,50,55,60,65,70,75},{"F9","E8","D7","C6","C5","C4","B3","B2","A1"})</f>
      </c>
      <c r="Z28">
        <f>RANK(X28,$X$4:$X$41,0)</f>
      </c>
      <c r="AA28">
        <v>33</v>
      </c>
      <c r="AB28">
        <v>50</v>
      </c>
      <c r="AC28">
        <f>SUM(AA28:AB28)</f>
      </c>
      <c r="AD28">
        <f>LOOKUP(AC28,{0,40,45,50,55,60,65,70,75},{"F9","E8","D7","C6","C5","C4","B3","B2","A1"})</f>
      </c>
      <c r="AE28">
        <f>RANK(AC28,$AC$4:$AC$41,0)</f>
      </c>
      <c r="AF28">
        <v>27</v>
      </c>
      <c r="AG28">
        <v>41</v>
      </c>
      <c r="AH28">
        <f>SUM(AF28:AG28)</f>
      </c>
      <c r="AI28">
        <f>LOOKUP(AH28,{0,40,45,50,55,60,65,70,75},{"F9","E8","D7","C6","C5","C4","B3","B2","A1"})</f>
      </c>
      <c r="AJ28">
        <f>RANK(AH28,$AH$4:$AH$41,0)</f>
      </c>
      <c r="AK28">
        <v>34</v>
      </c>
      <c r="AL28">
        <v>51</v>
      </c>
      <c r="AM28">
        <f>SUM(AK28:AL28)</f>
      </c>
      <c r="AN28">
        <f>LOOKUP(AM28,{0,40,45,50,55,60,65,70,75},{"F9","E8","D7","C6","C5","C4","B3","B2","A1"})</f>
      </c>
      <c r="AO28">
        <f>RANK(AM28,$AM$4:$AM$41,0)</f>
      </c>
      <c r="AP28">
        <f>SUM(D28,I28,N28,S28,X28,AC28,AH28,AM28)</f>
      </c>
      <c r="AQ28" s="2">
        <f>AVERAGE(D28,I28,N28,S28,X28,AC28,AH28,AM28)</f>
      </c>
      <c r="AR28">
        <f>RANK(AQ28,$AQ$4:$AQ$41,0)</f>
      </c>
      <c r="AS28">
        <v>651</v>
      </c>
      <c r="AT28" s="2">
        <v>81.4</v>
      </c>
      <c r="AU28">
        <v>3</v>
      </c>
      <c r="AV28">
        <f>IF(AND(AP28=AS28,ROUND(AQ28,1)=AT28,AR28=AU28),"✓","✗")</f>
      </c>
    </row>
    <row r="29">
      <c r="A29" t="s">
        <v>45</v>
      </c>
      <c r="B29">
        <v>22</v>
      </c>
      <c r="C29">
        <v>32</v>
      </c>
      <c r="D29">
        <f>SUM(B29:C29)</f>
      </c>
      <c r="E29">
        <f>LOOKUP(D29,{0,40,45,50,55,60,65,70,75},{"F9","E8","D7","C6","C5","C4","B3","B2","A1"})</f>
      </c>
      <c r="F29">
        <f>RANK(D29,$D$4:$D$41,0)</f>
      </c>
      <c r="G29">
        <v>20</v>
      </c>
      <c r="H29">
        <v>31</v>
      </c>
      <c r="I29">
        <f>SUM(G29:H29)</f>
      </c>
      <c r="J29">
        <f>LOOKUP(I29,{0,40,45,50,55,60,65,70,75},{"F9","E8","D7","C6","C5","C4","B3","B2","A1"})</f>
      </c>
      <c r="K29">
        <f>RANK(I29,$I$4:$I$41,0)</f>
      </c>
      <c r="L29">
        <v>28</v>
      </c>
      <c r="M29">
        <v>41</v>
      </c>
      <c r="N29">
        <f>SUM(L29:M29)</f>
      </c>
      <c r="O29">
        <f>LOOKUP(N29,{0,40,45,50,55,60,65,70,75},{"F9","E8","D7","C6","C5","C4","B3","B2","A1"})</f>
      </c>
      <c r="P29">
        <f>RANK(N29,$N$4:$N$41,0)</f>
      </c>
      <c r="Q29">
        <v>18</v>
      </c>
      <c r="R29">
        <v>27</v>
      </c>
      <c r="S29">
        <f>SUM(Q29:R29)</f>
      </c>
      <c r="T29">
        <f>LOOKUP(S29,{0,40,45,50,55,60,65,70,75},{"F9","E8","D7","C6","C5","C4","B3","B2","A1"})</f>
      </c>
      <c r="U29">
        <f>RANK(S29,$S$4:$S$41,0)</f>
      </c>
      <c r="V29">
        <v>21</v>
      </c>
      <c r="W29">
        <v>32</v>
      </c>
      <c r="X29">
        <f>SUM(V29:W29)</f>
      </c>
      <c r="Y29">
        <f>LOOKUP(X29,{0,40,45,50,55,60,65,70,75},{"F9","E8","D7","C6","C5","C4","B3","B2","A1"})</f>
      </c>
      <c r="Z29">
        <f>RANK(X29,$X$4:$X$41,0)</f>
      </c>
      <c r="AA29">
        <v>25</v>
      </c>
      <c r="AB29">
        <v>37</v>
      </c>
      <c r="AC29">
        <f>SUM(AA29:AB29)</f>
      </c>
      <c r="AD29">
        <f>LOOKUP(AC29,{0,40,45,50,55,60,65,70,75},{"F9","E8","D7","C6","C5","C4","B3","B2","A1"})</f>
      </c>
      <c r="AE29">
        <f>RANK(AC29,$AC$4:$AC$41,0)</f>
      </c>
      <c r="AF29">
        <v>17</v>
      </c>
      <c r="AG29">
        <v>25</v>
      </c>
      <c r="AH29">
        <f>SUM(AF29:AG29)</f>
      </c>
      <c r="AI29">
        <f>LOOKUP(AH29,{0,40,45,50,55,60,65,70,75},{"F9","E8","D7","C6","C5","C4","B3","B2","A1"})</f>
      </c>
      <c r="AJ29">
        <f>RANK(AH29,$AH$4:$AH$41,0)</f>
      </c>
      <c r="AK29">
        <v>22</v>
      </c>
      <c r="AL29">
        <v>33</v>
      </c>
      <c r="AM29">
        <f>SUM(AK29:AL29)</f>
      </c>
      <c r="AN29">
        <f>LOOKUP(AM29,{0,40,45,50,55,60,65,70,75},{"F9","E8","D7","C6","C5","C4","B3","B2","A1"})</f>
      </c>
      <c r="AO29">
        <f>RANK(AM29,$AM$4:$AM$41,0)</f>
      </c>
      <c r="AP29">
        <f>SUM(D29,I29,N29,S29,X29,AC29,AH29,AM29)</f>
      </c>
      <c r="AQ29" s="2">
        <f>AVERAGE(D29,I29,N29,S29,X29,AC29,AH29,AM29)</f>
      </c>
      <c r="AR29">
        <f>RANK(AQ29,$AQ$4:$AQ$41,0)</f>
      </c>
      <c r="AS29">
        <v>431</v>
      </c>
      <c r="AT29" s="2">
        <v>53.9</v>
      </c>
      <c r="AU29">
        <v>35</v>
      </c>
      <c r="AV29">
        <f>IF(AND(AP29=AS29,ROUND(AQ29,1)=AT29,AR29=AU29),"✓","✗")</f>
      </c>
    </row>
    <row r="30">
      <c r="A30" t="s">
        <v>46</v>
      </c>
      <c r="B30">
        <v>20</v>
      </c>
      <c r="C30">
        <v>31</v>
      </c>
      <c r="D30">
        <f>SUM(B30:C30)</f>
      </c>
      <c r="E30">
        <f>LOOKUP(D30,{0,40,45,50,55,60,65,70,75},{"F9","E8","D7","C6","C5","C4","B3","B2","A1"})</f>
      </c>
      <c r="F30">
        <f>RANK(D30,$D$4:$D$41,0)</f>
      </c>
      <c r="G30">
        <v>20</v>
      </c>
      <c r="H30">
        <v>29</v>
      </c>
      <c r="I30">
        <f>SUM(G30:H30)</f>
      </c>
      <c r="J30">
        <f>LOOKUP(I30,{0,40,45,50,55,60,65,70,75},{"F9","E8","D7","C6","C5","C4","B3","B2","A1"})</f>
      </c>
      <c r="K30">
        <f>RANK(I30,$I$4:$I$41,0)</f>
      </c>
      <c r="L30">
        <v>23</v>
      </c>
      <c r="M30">
        <v>34</v>
      </c>
      <c r="N30">
        <f>SUM(L30:M30)</f>
      </c>
      <c r="O30">
        <f>LOOKUP(N30,{0,40,45,50,55,60,65,70,75},{"F9","E8","D7","C6","C5","C4","B3","B2","A1"})</f>
      </c>
      <c r="P30">
        <f>RANK(N30,$N$4:$N$41,0)</f>
      </c>
      <c r="Q30">
        <v>24</v>
      </c>
      <c r="R30">
        <v>36</v>
      </c>
      <c r="S30">
        <f>SUM(Q30:R30)</f>
      </c>
      <c r="T30">
        <f>LOOKUP(S30,{0,40,45,50,55,60,65,70,75},{"F9","E8","D7","C6","C5","C4","B3","B2","A1"})</f>
      </c>
      <c r="U30">
        <f>RANK(S30,$S$4:$S$41,0)</f>
      </c>
      <c r="V30">
        <v>23</v>
      </c>
      <c r="W30">
        <v>34</v>
      </c>
      <c r="X30">
        <f>SUM(V30:W30)</f>
      </c>
      <c r="Y30">
        <f>LOOKUP(X30,{0,40,45,50,55,60,65,70,75},{"F9","E8","D7","C6","C5","C4","B3","B2","A1"})</f>
      </c>
      <c r="Z30">
        <f>RANK(X30,$X$4:$X$41,0)</f>
      </c>
      <c r="AA30">
        <v>20</v>
      </c>
      <c r="AB30">
        <v>31</v>
      </c>
      <c r="AC30">
        <f>SUM(AA30:AB30)</f>
      </c>
      <c r="AD30">
        <f>LOOKUP(AC30,{0,40,45,50,55,60,65,70,75},{"F9","E8","D7","C6","C5","C4","B3","B2","A1"})</f>
      </c>
      <c r="AE30">
        <f>RANK(AC30,$AC$4:$AC$41,0)</f>
      </c>
      <c r="AF30">
        <v>19</v>
      </c>
      <c r="AG30">
        <v>28</v>
      </c>
      <c r="AH30">
        <f>SUM(AF30:AG30)</f>
      </c>
      <c r="AI30">
        <f>LOOKUP(AH30,{0,40,45,50,55,60,65,70,75},{"F9","E8","D7","C6","C5","C4","B3","B2","A1"})</f>
      </c>
      <c r="AJ30">
        <f>RANK(AH30,$AH$4:$AH$41,0)</f>
      </c>
      <c r="AK30">
        <v>24</v>
      </c>
      <c r="AL30">
        <v>37</v>
      </c>
      <c r="AM30">
        <f>SUM(AK30:AL30)</f>
      </c>
      <c r="AN30">
        <f>LOOKUP(AM30,{0,40,45,50,55,60,65,70,75},{"F9","E8","D7","C6","C5","C4","B3","B2","A1"})</f>
      </c>
      <c r="AO30">
        <f>RANK(AM30,$AM$4:$AM$41,0)</f>
      </c>
      <c r="AP30">
        <f>SUM(D30,I30,N30,S30,X30,AC30,AH30,AM30)</f>
      </c>
      <c r="AQ30" s="2">
        <f>AVERAGE(D30,I30,N30,S30,X30,AC30,AH30,AM30)</f>
      </c>
      <c r="AR30">
        <f>RANK(AQ30,$AQ$4:$AQ$41,0)</f>
      </c>
      <c r="AS30">
        <v>433</v>
      </c>
      <c r="AT30" s="2">
        <v>54.1</v>
      </c>
      <c r="AU30">
        <v>32</v>
      </c>
      <c r="AV30">
        <f>IF(AND(AP30=AS30,ROUND(AQ30,1)=AT30,AR30=AU30),"✓","✗")</f>
      </c>
    </row>
    <row r="31">
      <c r="A31" t="s">
        <v>47</v>
      </c>
      <c r="B31">
        <v>32</v>
      </c>
      <c r="C31">
        <v>49</v>
      </c>
      <c r="D31">
        <f>SUM(B31:C31)</f>
      </c>
      <c r="E31">
        <f>LOOKUP(D31,{0,40,45,50,55,60,65,70,75},{"F9","E8","D7","C6","C5","C4","B3","B2","A1"})</f>
      </c>
      <c r="F31">
        <f>RANK(D31,$D$4:$D$41,0)</f>
      </c>
      <c r="G31">
        <v>36</v>
      </c>
      <c r="H31">
        <v>55</v>
      </c>
      <c r="I31">
        <f>SUM(G31:H31)</f>
      </c>
      <c r="J31">
        <f>LOOKUP(I31,{0,40,45,50,55,60,65,70,75},{"F9","E8","D7","C6","C5","C4","B3","B2","A1"})</f>
      </c>
      <c r="K31">
        <f>RANK(I31,$I$4:$I$41,0)</f>
      </c>
      <c r="L31">
        <v>32</v>
      </c>
      <c r="M31">
        <v>48</v>
      </c>
      <c r="N31">
        <f>SUM(L31:M31)</f>
      </c>
      <c r="O31">
        <f>LOOKUP(N31,{0,40,45,50,55,60,65,70,75},{"F9","E8","D7","C6","C5","C4","B3","B2","A1"})</f>
      </c>
      <c r="P31">
        <f>RANK(N31,$N$4:$N$41,0)</f>
      </c>
      <c r="Q31">
        <v>28</v>
      </c>
      <c r="R31">
        <v>43</v>
      </c>
      <c r="S31">
        <f>SUM(Q31:R31)</f>
      </c>
      <c r="T31">
        <f>LOOKUP(S31,{0,40,45,50,55,60,65,70,75},{"F9","E8","D7","C6","C5","C4","B3","B2","A1"})</f>
      </c>
      <c r="U31">
        <f>RANK(S31,$S$4:$S$41,0)</f>
      </c>
      <c r="V31">
        <v>35</v>
      </c>
      <c r="W31">
        <v>52</v>
      </c>
      <c r="X31">
        <f>SUM(V31:W31)</f>
      </c>
      <c r="Y31">
        <f>LOOKUP(X31,{0,40,45,50,55,60,65,70,75},{"F9","E8","D7","C6","C5","C4","B3","B2","A1"})</f>
      </c>
      <c r="Z31">
        <f>RANK(X31,$X$4:$X$41,0)</f>
      </c>
      <c r="AA31">
        <v>33</v>
      </c>
      <c r="AB31">
        <v>49</v>
      </c>
      <c r="AC31">
        <f>SUM(AA31:AB31)</f>
      </c>
      <c r="AD31">
        <f>LOOKUP(AC31,{0,40,45,50,55,60,65,70,75},{"F9","E8","D7","C6","C5","C4","B3","B2","A1"})</f>
      </c>
      <c r="AE31">
        <f>RANK(AC31,$AC$4:$AC$41,0)</f>
      </c>
      <c r="AF31">
        <v>27</v>
      </c>
      <c r="AG31">
        <v>40</v>
      </c>
      <c r="AH31">
        <f>SUM(AF31:AG31)</f>
      </c>
      <c r="AI31">
        <f>LOOKUP(AH31,{0,40,45,50,55,60,65,70,75},{"F9","E8","D7","C6","C5","C4","B3","B2","A1"})</f>
      </c>
      <c r="AJ31">
        <f>RANK(AH31,$AH$4:$AH$41,0)</f>
      </c>
      <c r="AK31">
        <v>34</v>
      </c>
      <c r="AL31">
        <v>50</v>
      </c>
      <c r="AM31">
        <f>SUM(AK31:AL31)</f>
      </c>
      <c r="AN31">
        <f>LOOKUP(AM31,{0,40,45,50,55,60,65,70,75},{"F9","E8","D7","C6","C5","C4","B3","B2","A1"})</f>
      </c>
      <c r="AO31">
        <f>RANK(AM31,$AM$4:$AM$41,0)</f>
      </c>
      <c r="AP31">
        <f>SUM(D31,I31,N31,S31,X31,AC31,AH31,AM31)</f>
      </c>
      <c r="AQ31" s="2">
        <f>AVERAGE(D31,I31,N31,S31,X31,AC31,AH31,AM31)</f>
      </c>
      <c r="AR31">
        <f>RANK(AQ31,$AQ$4:$AQ$41,0)</f>
      </c>
      <c r="AS31">
        <v>643</v>
      </c>
      <c r="AT31" s="2">
        <v>80.4</v>
      </c>
      <c r="AU31">
        <v>4</v>
      </c>
      <c r="AV31">
        <f>IF(AND(AP31=AS31,ROUND(AQ31,1)=AT31,AR31=AU31),"✓","✗")</f>
      </c>
    </row>
    <row r="32">
      <c r="A32" t="s">
        <v>48</v>
      </c>
      <c r="B32">
        <v>21</v>
      </c>
      <c r="C32">
        <v>32</v>
      </c>
      <c r="D32">
        <f>SUM(B32:C32)</f>
      </c>
      <c r="E32">
        <f>LOOKUP(D32,{0,40,45,50,55,60,65,70,75},{"F9","E8","D7","C6","C5","C4","B3","B2","A1"})</f>
      </c>
      <c r="F32">
        <f>RANK(D32,$D$4:$D$41,0)</f>
      </c>
      <c r="G32">
        <v>21</v>
      </c>
      <c r="H32">
        <v>31</v>
      </c>
      <c r="I32">
        <f>SUM(G32:H32)</f>
      </c>
      <c r="J32">
        <f>LOOKUP(I32,{0,40,45,50,55,60,65,70,75},{"F9","E8","D7","C6","C5","C4","B3","B2","A1"})</f>
      </c>
      <c r="K32">
        <f>RANK(I32,$I$4:$I$41,0)</f>
      </c>
      <c r="L32">
        <v>28</v>
      </c>
      <c r="M32">
        <v>41</v>
      </c>
      <c r="N32">
        <f>SUM(L32:M32)</f>
      </c>
      <c r="O32">
        <f>LOOKUP(N32,{0,40,45,50,55,60,65,70,75},{"F9","E8","D7","C6","C5","C4","B3","B2","A1"})</f>
      </c>
      <c r="P32">
        <f>RANK(N32,$N$4:$N$41,0)</f>
      </c>
      <c r="Q32">
        <v>18</v>
      </c>
      <c r="R32">
        <v>27</v>
      </c>
      <c r="S32">
        <f>SUM(Q32:R32)</f>
      </c>
      <c r="T32">
        <f>LOOKUP(S32,{0,40,45,50,55,60,65,70,75},{"F9","E8","D7","C6","C5","C4","B3","B2","A1"})</f>
      </c>
      <c r="U32">
        <f>RANK(S32,$S$4:$S$41,0)</f>
      </c>
      <c r="V32">
        <v>28</v>
      </c>
      <c r="W32">
        <v>41</v>
      </c>
      <c r="X32">
        <f>SUM(V32:W32)</f>
      </c>
      <c r="Y32">
        <f>LOOKUP(X32,{0,40,45,50,55,60,65,70,75},{"F9","E8","D7","C6","C5","C4","B3","B2","A1"})</f>
      </c>
      <c r="Z32">
        <f>RANK(X32,$X$4:$X$41,0)</f>
      </c>
      <c r="AA32">
        <v>26</v>
      </c>
      <c r="AB32">
        <v>38</v>
      </c>
      <c r="AC32">
        <f>SUM(AA32:AB32)</f>
      </c>
      <c r="AD32">
        <f>LOOKUP(AC32,{0,40,45,50,55,60,65,70,75},{"F9","E8","D7","C6","C5","C4","B3","B2","A1"})</f>
      </c>
      <c r="AE32">
        <f>RANK(AC32,$AC$4:$AC$41,0)</f>
      </c>
      <c r="AF32">
        <v>21</v>
      </c>
      <c r="AG32">
        <v>31</v>
      </c>
      <c r="AH32">
        <f>SUM(AF32:AG32)</f>
      </c>
      <c r="AI32">
        <f>LOOKUP(AH32,{0,40,45,50,55,60,65,70,75},{"F9","E8","D7","C6","C5","C4","B3","B2","A1"})</f>
      </c>
      <c r="AJ32">
        <f>RANK(AH32,$AH$4:$AH$41,0)</f>
      </c>
      <c r="AK32">
        <v>24</v>
      </c>
      <c r="AL32">
        <v>35</v>
      </c>
      <c r="AM32">
        <f>SUM(AK32:AL32)</f>
      </c>
      <c r="AN32">
        <f>LOOKUP(AM32,{0,40,45,50,55,60,65,70,75},{"F9","E8","D7","C6","C5","C4","B3","B2","A1"})</f>
      </c>
      <c r="AO32">
        <f>RANK(AM32,$AM$4:$AM$41,0)</f>
      </c>
      <c r="AP32">
        <f>SUM(D32,I32,N32,S32,X32,AC32,AH32,AM32)</f>
      </c>
      <c r="AQ32" s="2">
        <f>AVERAGE(D32,I32,N32,S32,X32,AC32,AH32,AM32)</f>
      </c>
      <c r="AR32">
        <f>RANK(AQ32,$AQ$4:$AQ$41,0)</f>
      </c>
      <c r="AS32">
        <v>463</v>
      </c>
      <c r="AT32" s="2">
        <v>57.9</v>
      </c>
      <c r="AU32">
        <v>13</v>
      </c>
      <c r="AV32">
        <f>IF(AND(AP32=AS32,ROUND(AQ32,1)=AT32,AR32=AU32),"✓","✗")</f>
      </c>
    </row>
    <row r="33">
      <c r="A33" t="s">
        <v>49</v>
      </c>
      <c r="B33">
        <v>23</v>
      </c>
      <c r="C33">
        <v>35</v>
      </c>
      <c r="D33">
        <f>SUM(B33:C33)</f>
      </c>
      <c r="E33">
        <f>LOOKUP(D33,{0,40,45,50,55,60,65,70,75},{"F9","E8","D7","C6","C5","C4","B3","B2","A1"})</f>
      </c>
      <c r="F33">
        <f>RANK(D33,$D$4:$D$41,0)</f>
      </c>
      <c r="G33">
        <v>19</v>
      </c>
      <c r="H33">
        <v>29</v>
      </c>
      <c r="I33">
        <f>SUM(G33:H33)</f>
      </c>
      <c r="J33">
        <f>LOOKUP(I33,{0,40,45,50,55,60,65,70,75},{"F9","E8","D7","C6","C5","C4","B3","B2","A1"})</f>
      </c>
      <c r="K33">
        <f>RANK(I33,$I$4:$I$41,0)</f>
      </c>
      <c r="L33">
        <v>21</v>
      </c>
      <c r="M33">
        <v>31</v>
      </c>
      <c r="N33">
        <f>SUM(L33:M33)</f>
      </c>
      <c r="O33">
        <f>LOOKUP(N33,{0,40,45,50,55,60,65,70,75},{"F9","E8","D7","C6","C5","C4","B3","B2","A1"})</f>
      </c>
      <c r="P33">
        <f>RANK(N33,$N$4:$N$41,0)</f>
      </c>
      <c r="Q33">
        <v>24</v>
      </c>
      <c r="R33">
        <v>37</v>
      </c>
      <c r="S33">
        <f>SUM(Q33:R33)</f>
      </c>
      <c r="T33">
        <f>LOOKUP(S33,{0,40,45,50,55,60,65,70,75},{"F9","E8","D7","C6","C5","C4","B3","B2","A1"})</f>
      </c>
      <c r="U33">
        <f>RANK(S33,$S$4:$S$41,0)</f>
      </c>
      <c r="V33">
        <v>26</v>
      </c>
      <c r="W33">
        <v>40</v>
      </c>
      <c r="X33">
        <f>SUM(V33:W33)</f>
      </c>
      <c r="Y33">
        <f>LOOKUP(X33,{0,40,45,50,55,60,65,70,75},{"F9","E8","D7","C6","C5","C4","B3","B2","A1"})</f>
      </c>
      <c r="Z33">
        <f>RANK(X33,$X$4:$X$41,0)</f>
      </c>
      <c r="AA33">
        <v>21</v>
      </c>
      <c r="AB33">
        <v>31</v>
      </c>
      <c r="AC33">
        <f>SUM(AA33:AB33)</f>
      </c>
      <c r="AD33">
        <f>LOOKUP(AC33,{0,40,45,50,55,60,65,70,75},{"F9","E8","D7","C6","C5","C4","B3","B2","A1"})</f>
      </c>
      <c r="AE33">
        <f>RANK(AC33,$AC$4:$AC$41,0)</f>
      </c>
      <c r="AF33">
        <v>16</v>
      </c>
      <c r="AG33">
        <v>23</v>
      </c>
      <c r="AH33">
        <f>SUM(AF33:AG33)</f>
      </c>
      <c r="AI33">
        <f>LOOKUP(AH33,{0,40,45,50,55,60,65,70,75},{"F9","E8","D7","C6","C5","C4","B3","B2","A1"})</f>
      </c>
      <c r="AJ33">
        <f>RANK(AH33,$AH$4:$AH$41,0)</f>
      </c>
      <c r="AK33">
        <v>19</v>
      </c>
      <c r="AL33">
        <v>29</v>
      </c>
      <c r="AM33">
        <f>SUM(AK33:AL33)</f>
      </c>
      <c r="AN33">
        <f>LOOKUP(AM33,{0,40,45,50,55,60,65,70,75},{"F9","E8","D7","C6","C5","C4","B3","B2","A1"})</f>
      </c>
      <c r="AO33">
        <f>RANK(AM33,$AM$4:$AM$41,0)</f>
      </c>
      <c r="AP33">
        <f>SUM(D33,I33,N33,S33,X33,AC33,AH33,AM33)</f>
      </c>
      <c r="AQ33" s="2">
        <f>AVERAGE(D33,I33,N33,S33,X33,AC33,AH33,AM33)</f>
      </c>
      <c r="AR33">
        <f>RANK(AQ33,$AQ$4:$AQ$41,0)</f>
      </c>
      <c r="AS33">
        <v>424</v>
      </c>
      <c r="AT33" s="2">
        <v>53</v>
      </c>
      <c r="AU33">
        <v>37</v>
      </c>
      <c r="AV33">
        <f>IF(AND(AP33=AS33,ROUND(AQ33,1)=AT33,AR33=AU33),"✓","✗")</f>
      </c>
    </row>
    <row r="34">
      <c r="A34" t="s">
        <v>50</v>
      </c>
      <c r="B34">
        <v>22</v>
      </c>
      <c r="C34">
        <v>33</v>
      </c>
      <c r="D34">
        <f>SUM(B34:C34)</f>
      </c>
      <c r="E34">
        <f>LOOKUP(D34,{0,40,45,50,55,60,65,70,75},{"F9","E8","D7","C6","C5","C4","B3","B2","A1"})</f>
      </c>
      <c r="F34">
        <f>RANK(D34,$D$4:$D$41,0)</f>
      </c>
      <c r="G34">
        <v>25</v>
      </c>
      <c r="H34">
        <v>37</v>
      </c>
      <c r="I34">
        <f>SUM(G34:H34)</f>
      </c>
      <c r="J34">
        <f>LOOKUP(I34,{0,40,45,50,55,60,65,70,75},{"F9","E8","D7","C6","C5","C4","B3","B2","A1"})</f>
      </c>
      <c r="K34">
        <f>RANK(I34,$I$4:$I$41,0)</f>
      </c>
      <c r="L34">
        <v>21</v>
      </c>
      <c r="M34">
        <v>32</v>
      </c>
      <c r="N34">
        <f>SUM(L34:M34)</f>
      </c>
      <c r="O34">
        <f>LOOKUP(N34,{0,40,45,50,55,60,65,70,75},{"F9","E8","D7","C6","C5","C4","B3","B2","A1"})</f>
      </c>
      <c r="P34">
        <f>RANK(N34,$N$4:$N$41,0)</f>
      </c>
      <c r="Q34">
        <v>18</v>
      </c>
      <c r="R34">
        <v>27</v>
      </c>
      <c r="S34">
        <f>SUM(Q34:R34)</f>
      </c>
      <c r="T34">
        <f>LOOKUP(S34,{0,40,45,50,55,60,65,70,75},{"F9","E8","D7","C6","C5","C4","B3","B2","A1"})</f>
      </c>
      <c r="U34">
        <f>RANK(S34,$S$4:$S$41,0)</f>
      </c>
      <c r="V34">
        <v>22</v>
      </c>
      <c r="W34">
        <v>34</v>
      </c>
      <c r="X34">
        <f>SUM(V34:W34)</f>
      </c>
      <c r="Y34">
        <f>LOOKUP(X34,{0,40,45,50,55,60,65,70,75},{"F9","E8","D7","C6","C5","C4","B3","B2","A1"})</f>
      </c>
      <c r="Z34">
        <f>RANK(X34,$X$4:$X$41,0)</f>
      </c>
      <c r="AA34">
        <v>26</v>
      </c>
      <c r="AB34">
        <v>39</v>
      </c>
      <c r="AC34">
        <f>SUM(AA34:AB34)</f>
      </c>
      <c r="AD34">
        <f>LOOKUP(AC34,{0,40,45,50,55,60,65,70,75},{"F9","E8","D7","C6","C5","C4","B3","B2","A1"})</f>
      </c>
      <c r="AE34">
        <f>RANK(AC34,$AC$4:$AC$41,0)</f>
      </c>
      <c r="AF34">
        <v>17</v>
      </c>
      <c r="AG34">
        <v>25</v>
      </c>
      <c r="AH34">
        <f>SUM(AF34:AG34)</f>
      </c>
      <c r="AI34">
        <f>LOOKUP(AH34,{0,40,45,50,55,60,65,70,75},{"F9","E8","D7","C6","C5","C4","B3","B2","A1"})</f>
      </c>
      <c r="AJ34">
        <f>RANK(AH34,$AH$4:$AH$41,0)</f>
      </c>
      <c r="AK34">
        <v>24</v>
      </c>
      <c r="AL34">
        <v>35</v>
      </c>
      <c r="AM34">
        <f>SUM(AK34:AL34)</f>
      </c>
      <c r="AN34">
        <f>LOOKUP(AM34,{0,40,45,50,55,60,65,70,75},{"F9","E8","D7","C6","C5","C4","B3","B2","A1"})</f>
      </c>
      <c r="AO34">
        <f>RANK(AM34,$AM$4:$AM$41,0)</f>
      </c>
      <c r="AP34">
        <f>SUM(D34,I34,N34,S34,X34,AC34,AH34,AM34)</f>
      </c>
      <c r="AQ34" s="2">
        <f>AVERAGE(D34,I34,N34,S34,X34,AC34,AH34,AM34)</f>
      </c>
      <c r="AR34">
        <f>RANK(AQ34,$AQ$4:$AQ$41,0)</f>
      </c>
      <c r="AS34">
        <v>437</v>
      </c>
      <c r="AT34" s="2">
        <v>54.6</v>
      </c>
      <c r="AU34">
        <v>30</v>
      </c>
      <c r="AV34">
        <f>IF(AND(AP34=AS34,ROUND(AQ34,1)=AT34,AR34=AU34),"✓","✗")</f>
      </c>
    </row>
    <row r="35">
      <c r="A35" t="s">
        <v>51</v>
      </c>
      <c r="B35">
        <v>25</v>
      </c>
      <c r="C35">
        <v>37</v>
      </c>
      <c r="D35">
        <f>SUM(B35:C35)</f>
      </c>
      <c r="E35">
        <f>LOOKUP(D35,{0,40,45,50,55,60,65,70,75},{"F9","E8","D7","C6","C5","C4","B3","B2","A1"})</f>
      </c>
      <c r="F35">
        <f>RANK(D35,$D$4:$D$41,0)</f>
      </c>
      <c r="G35">
        <v>21</v>
      </c>
      <c r="H35">
        <v>32</v>
      </c>
      <c r="I35">
        <f>SUM(G35:H35)</f>
      </c>
      <c r="J35">
        <f>LOOKUP(I35,{0,40,45,50,55,60,65,70,75},{"F9","E8","D7","C6","C5","C4","B3","B2","A1"})</f>
      </c>
      <c r="K35">
        <f>RANK(I35,$I$4:$I$41,0)</f>
      </c>
      <c r="L35">
        <v>21</v>
      </c>
      <c r="M35">
        <v>31</v>
      </c>
      <c r="N35">
        <f>SUM(L35:M35)</f>
      </c>
      <c r="O35">
        <f>LOOKUP(N35,{0,40,45,50,55,60,65,70,75},{"F9","E8","D7","C6","C5","C4","B3","B2","A1"})</f>
      </c>
      <c r="P35">
        <f>RANK(N35,$N$4:$N$41,0)</f>
      </c>
      <c r="Q35">
        <v>19</v>
      </c>
      <c r="R35">
        <v>29</v>
      </c>
      <c r="S35">
        <f>SUM(Q35:R35)</f>
      </c>
      <c r="T35">
        <f>LOOKUP(S35,{0,40,45,50,55,60,65,70,75},{"F9","E8","D7","C6","C5","C4","B3","B2","A1"})</f>
      </c>
      <c r="U35">
        <f>RANK(S35,$S$4:$S$41,0)</f>
      </c>
      <c r="V35">
        <v>25</v>
      </c>
      <c r="W35">
        <v>37</v>
      </c>
      <c r="X35">
        <f>SUM(V35:W35)</f>
      </c>
      <c r="Y35">
        <f>LOOKUP(X35,{0,40,45,50,55,60,65,70,75},{"F9","E8","D7","C6","C5","C4","B3","B2","A1"})</f>
      </c>
      <c r="Z35">
        <f>RANK(X35,$X$4:$X$41,0)</f>
      </c>
      <c r="AA35">
        <v>26</v>
      </c>
      <c r="AB35">
        <v>38</v>
      </c>
      <c r="AC35">
        <f>SUM(AA35:AB35)</f>
      </c>
      <c r="AD35">
        <f>LOOKUP(AC35,{0,40,45,50,55,60,65,70,75},{"F9","E8","D7","C6","C5","C4","B3","B2","A1"})</f>
      </c>
      <c r="AE35">
        <f>RANK(AC35,$AC$4:$AC$41,0)</f>
      </c>
      <c r="AF35">
        <v>17</v>
      </c>
      <c r="AG35">
        <v>26</v>
      </c>
      <c r="AH35">
        <f>SUM(AF35:AG35)</f>
      </c>
      <c r="AI35">
        <f>LOOKUP(AH35,{0,40,45,50,55,60,65,70,75},{"F9","E8","D7","C6","C5","C4","B3","B2","A1"})</f>
      </c>
      <c r="AJ35">
        <f>RANK(AH35,$AH$4:$AH$41,0)</f>
      </c>
      <c r="AK35">
        <v>25</v>
      </c>
      <c r="AL35">
        <v>37</v>
      </c>
      <c r="AM35">
        <f>SUM(AK35:AL35)</f>
      </c>
      <c r="AN35">
        <f>LOOKUP(AM35,{0,40,45,50,55,60,65,70,75},{"F9","E8","D7","C6","C5","C4","B3","B2","A1"})</f>
      </c>
      <c r="AO35">
        <f>RANK(AM35,$AM$4:$AM$41,0)</f>
      </c>
      <c r="AP35">
        <f>SUM(D35,I35,N35,S35,X35,AC35,AH35,AM35)</f>
      </c>
      <c r="AQ35" s="2">
        <f>AVERAGE(D35,I35,N35,S35,X35,AC35,AH35,AM35)</f>
      </c>
      <c r="AR35">
        <f>RANK(AQ35,$AQ$4:$AQ$41,0)</f>
      </c>
      <c r="AS35">
        <v>446</v>
      </c>
      <c r="AT35" s="2">
        <v>55.8</v>
      </c>
      <c r="AU35">
        <v>23</v>
      </c>
      <c r="AV35">
        <f>IF(AND(AP35=AS35,ROUND(AQ35,1)=AT35,AR35=AU35),"✓","✗")</f>
      </c>
    </row>
    <row r="36">
      <c r="A36" t="s">
        <v>52</v>
      </c>
      <c r="B36">
        <v>33</v>
      </c>
      <c r="C36">
        <v>50</v>
      </c>
      <c r="D36">
        <f>SUM(B36:C36)</f>
      </c>
      <c r="E36">
        <f>LOOKUP(D36,{0,40,45,50,55,60,65,70,75},{"F9","E8","D7","C6","C5","C4","B3","B2","A1"})</f>
      </c>
      <c r="F36">
        <f>RANK(D36,$D$4:$D$41,0)</f>
      </c>
      <c r="G36">
        <v>37</v>
      </c>
      <c r="H36">
        <v>56</v>
      </c>
      <c r="I36">
        <f>SUM(G36:H36)</f>
      </c>
      <c r="J36">
        <f>LOOKUP(I36,{0,40,45,50,55,60,65,70,75},{"F9","E8","D7","C6","C5","C4","B3","B2","A1"})</f>
      </c>
      <c r="K36">
        <f>RANK(I36,$I$4:$I$41,0)</f>
      </c>
      <c r="L36">
        <v>33</v>
      </c>
      <c r="M36">
        <v>49</v>
      </c>
      <c r="N36">
        <f>SUM(L36:M36)</f>
      </c>
      <c r="O36">
        <f>LOOKUP(N36,{0,40,45,50,55,60,65,70,75},{"F9","E8","D7","C6","C5","C4","B3","B2","A1"})</f>
      </c>
      <c r="P36">
        <f>RANK(N36,$N$4:$N$41,0)</f>
      </c>
      <c r="Q36">
        <v>29</v>
      </c>
      <c r="R36">
        <v>44</v>
      </c>
      <c r="S36">
        <f>SUM(Q36:R36)</f>
      </c>
      <c r="T36">
        <f>LOOKUP(S36,{0,40,45,50,55,60,65,70,75},{"F9","E8","D7","C6","C5","C4","B3","B2","A1"})</f>
      </c>
      <c r="U36">
        <f>RANK(S36,$S$4:$S$41,0)</f>
      </c>
      <c r="V36">
        <v>36</v>
      </c>
      <c r="W36">
        <v>53</v>
      </c>
      <c r="X36">
        <f>SUM(V36:W36)</f>
      </c>
      <c r="Y36">
        <f>LOOKUP(X36,{0,40,45,50,55,60,65,70,75},{"F9","E8","D7","C6","C5","C4","B3","B2","A1"})</f>
      </c>
      <c r="Z36">
        <f>RANK(X36,$X$4:$X$41,0)</f>
      </c>
      <c r="AA36">
        <v>34</v>
      </c>
      <c r="AB36">
        <v>50</v>
      </c>
      <c r="AC36">
        <f>SUM(AA36:AB36)</f>
      </c>
      <c r="AD36">
        <f>LOOKUP(AC36,{0,40,45,50,55,60,65,70,75},{"F9","E8","D7","C6","C5","C4","B3","B2","A1"})</f>
      </c>
      <c r="AE36">
        <f>RANK(AC36,$AC$4:$AC$41,0)</f>
      </c>
      <c r="AF36">
        <v>28</v>
      </c>
      <c r="AG36">
        <v>41</v>
      </c>
      <c r="AH36">
        <f>SUM(AF36:AG36)</f>
      </c>
      <c r="AI36">
        <f>LOOKUP(AH36,{0,40,45,50,55,60,65,70,75},{"F9","E8","D7","C6","C5","C4","B3","B2","A1"})</f>
      </c>
      <c r="AJ36">
        <f>RANK(AH36,$AH$4:$AH$41,0)</f>
      </c>
      <c r="AK36">
        <v>34</v>
      </c>
      <c r="AL36">
        <v>52</v>
      </c>
      <c r="AM36">
        <f>SUM(AK36:AL36)</f>
      </c>
      <c r="AN36">
        <f>LOOKUP(AM36,{0,40,45,50,55,60,65,70,75},{"F9","E8","D7","C6","C5","C4","B3","B2","A1"})</f>
      </c>
      <c r="AO36">
        <f>RANK(AM36,$AM$4:$AM$41,0)</f>
      </c>
      <c r="AP36">
        <f>SUM(D36,I36,N36,S36,X36,AC36,AH36,AM36)</f>
      </c>
      <c r="AQ36" s="2">
        <f>AVERAGE(D36,I36,N36,S36,X36,AC36,AH36,AM36)</f>
      </c>
      <c r="AR36">
        <f>RANK(AQ36,$AQ$4:$AQ$41,0)</f>
      </c>
      <c r="AS36">
        <v>659</v>
      </c>
      <c r="AT36" s="2">
        <v>82.4</v>
      </c>
      <c r="AU36">
        <v>2</v>
      </c>
      <c r="AV36">
        <f>IF(AND(AP36=AS36,ROUND(AQ36,1)=AT36,AR36=AU36),"✓","✗")</f>
      </c>
    </row>
    <row r="37">
      <c r="A37" t="s">
        <v>53</v>
      </c>
      <c r="B37">
        <v>24</v>
      </c>
      <c r="C37">
        <v>36</v>
      </c>
      <c r="D37">
        <f>SUM(B37:C37)</f>
      </c>
      <c r="E37">
        <f>LOOKUP(D37,{0,40,45,50,55,60,65,70,75},{"F9","E8","D7","C6","C5","C4","B3","B2","A1"})</f>
      </c>
      <c r="F37">
        <f>RANK(D37,$D$4:$D$41,0)</f>
      </c>
      <c r="G37">
        <v>22</v>
      </c>
      <c r="H37">
        <v>32</v>
      </c>
      <c r="I37">
        <f>SUM(G37:H37)</f>
      </c>
      <c r="J37">
        <f>LOOKUP(I37,{0,40,45,50,55,60,65,70,75},{"F9","E8","D7","C6","C5","C4","B3","B2","A1"})</f>
      </c>
      <c r="K37">
        <f>RANK(I37,$I$4:$I$41,0)</f>
      </c>
      <c r="L37">
        <v>21</v>
      </c>
      <c r="M37">
        <v>31</v>
      </c>
      <c r="N37">
        <f>SUM(L37:M37)</f>
      </c>
      <c r="O37">
        <f>LOOKUP(N37,{0,40,45,50,55,60,65,70,75},{"F9","E8","D7","C6","C5","C4","B3","B2","A1"})</f>
      </c>
      <c r="P37">
        <f>RANK(N37,$N$4:$N$41,0)</f>
      </c>
      <c r="Q37">
        <v>20</v>
      </c>
      <c r="R37">
        <v>30</v>
      </c>
      <c r="S37">
        <f>SUM(Q37:R37)</f>
      </c>
      <c r="T37">
        <f>LOOKUP(S37,{0,40,45,50,55,60,65,70,75},{"F9","E8","D7","C6","C5","C4","B3","B2","A1"})</f>
      </c>
      <c r="U37">
        <f>RANK(S37,$S$4:$S$41,0)</f>
      </c>
      <c r="V37">
        <v>25</v>
      </c>
      <c r="W37">
        <v>38</v>
      </c>
      <c r="X37">
        <f>SUM(V37:W37)</f>
      </c>
      <c r="Y37">
        <f>LOOKUP(X37,{0,40,45,50,55,60,65,70,75},{"F9","E8","D7","C6","C5","C4","B3","B2","A1"})</f>
      </c>
      <c r="Z37">
        <f>RANK(X37,$X$4:$X$41,0)</f>
      </c>
      <c r="AA37">
        <v>28</v>
      </c>
      <c r="AB37">
        <v>41</v>
      </c>
      <c r="AC37">
        <f>SUM(AA37:AB37)</f>
      </c>
      <c r="AD37">
        <f>LOOKUP(AC37,{0,40,45,50,55,60,65,70,75},{"F9","E8","D7","C6","C5","C4","B3","B2","A1"})</f>
      </c>
      <c r="AE37">
        <f>RANK(AC37,$AC$4:$AC$41,0)</f>
      </c>
      <c r="AF37">
        <v>23</v>
      </c>
      <c r="AG37">
        <v>34</v>
      </c>
      <c r="AH37">
        <f>SUM(AF37:AG37)</f>
      </c>
      <c r="AI37">
        <f>LOOKUP(AH37,{0,40,45,50,55,60,65,70,75},{"F9","E8","D7","C6","C5","C4","B3","B2","A1"})</f>
      </c>
      <c r="AJ37">
        <f>RANK(AH37,$AH$4:$AH$41,0)</f>
      </c>
      <c r="AK37">
        <v>18</v>
      </c>
      <c r="AL37">
        <v>28</v>
      </c>
      <c r="AM37">
        <f>SUM(AK37:AL37)</f>
      </c>
      <c r="AN37">
        <f>LOOKUP(AM37,{0,40,45,50,55,60,65,70,75},{"F9","E8","D7","C6","C5","C4","B3","B2","A1"})</f>
      </c>
      <c r="AO37">
        <f>RANK(AM37,$AM$4:$AM$41,0)</f>
      </c>
      <c r="AP37">
        <f>SUM(D37,I37,N37,S37,X37,AC37,AH37,AM37)</f>
      </c>
      <c r="AQ37" s="2">
        <f>AVERAGE(D37,I37,N37,S37,X37,AC37,AH37,AM37)</f>
      </c>
      <c r="AR37">
        <f>RANK(AQ37,$AQ$4:$AQ$41,0)</f>
      </c>
      <c r="AS37">
        <v>451</v>
      </c>
      <c r="AT37" s="2">
        <v>56.4</v>
      </c>
      <c r="AU37">
        <v>19</v>
      </c>
      <c r="AV37">
        <f>IF(AND(AP37=AS37,ROUND(AQ37,1)=AT37,AR37=AU37),"✓","✗")</f>
      </c>
    </row>
    <row r="38">
      <c r="A38" t="s">
        <v>54</v>
      </c>
      <c r="B38">
        <v>20</v>
      </c>
      <c r="C38">
        <v>29</v>
      </c>
      <c r="D38">
        <f>SUM(B38:C38)</f>
      </c>
      <c r="E38">
        <f>LOOKUP(D38,{0,40,45,50,55,60,65,70,75},{"F9","E8","D7","C6","C5","C4","B3","B2","A1"})</f>
      </c>
      <c r="F38">
        <f>RANK(D38,$D$4:$D$41,0)</f>
      </c>
      <c r="G38">
        <v>21</v>
      </c>
      <c r="H38">
        <v>32</v>
      </c>
      <c r="I38">
        <f>SUM(G38:H38)</f>
      </c>
      <c r="J38">
        <f>LOOKUP(I38,{0,40,45,50,55,60,65,70,75},{"F9","E8","D7","C6","C5","C4","B3","B2","A1"})</f>
      </c>
      <c r="K38">
        <f>RANK(I38,$I$4:$I$41,0)</f>
      </c>
      <c r="L38">
        <v>26</v>
      </c>
      <c r="M38">
        <v>38</v>
      </c>
      <c r="N38">
        <f>SUM(L38:M38)</f>
      </c>
      <c r="O38">
        <f>LOOKUP(N38,{0,40,45,50,55,60,65,70,75},{"F9","E8","D7","C6","C5","C4","B3","B2","A1"})</f>
      </c>
      <c r="P38">
        <f>RANK(N38,$N$4:$N$41,0)</f>
      </c>
      <c r="Q38">
        <v>25</v>
      </c>
      <c r="R38">
        <v>37</v>
      </c>
      <c r="S38">
        <f>SUM(Q38:R38)</f>
      </c>
      <c r="T38">
        <f>LOOKUP(S38,{0,40,45,50,55,60,65,70,75},{"F9","E8","D7","C6","C5","C4","B3","B2","A1"})</f>
      </c>
      <c r="U38">
        <f>RANK(S38,$S$4:$S$41,0)</f>
      </c>
      <c r="V38">
        <v>22</v>
      </c>
      <c r="W38">
        <v>34</v>
      </c>
      <c r="X38">
        <f>SUM(V38:W38)</f>
      </c>
      <c r="Y38">
        <f>LOOKUP(X38,{0,40,45,50,55,60,65,70,75},{"F9","E8","D7","C6","C5","C4","B3","B2","A1"})</f>
      </c>
      <c r="Z38">
        <f>RANK(X38,$X$4:$X$41,0)</f>
      </c>
      <c r="AA38">
        <v>26</v>
      </c>
      <c r="AB38">
        <v>40</v>
      </c>
      <c r="AC38">
        <f>SUM(AA38:AB38)</f>
      </c>
      <c r="AD38">
        <f>LOOKUP(AC38,{0,40,45,50,55,60,65,70,75},{"F9","E8","D7","C6","C5","C4","B3","B2","A1"})</f>
      </c>
      <c r="AE38">
        <f>RANK(AC38,$AC$4:$AC$41,0)</f>
      </c>
      <c r="AF38">
        <v>18</v>
      </c>
      <c r="AG38">
        <v>28</v>
      </c>
      <c r="AH38">
        <f>SUM(AF38:AG38)</f>
      </c>
      <c r="AI38">
        <f>LOOKUP(AH38,{0,40,45,50,55,60,65,70,75},{"F9","E8","D7","C6","C5","C4","B3","B2","A1"})</f>
      </c>
      <c r="AJ38">
        <f>RANK(AH38,$AH$4:$AH$41,0)</f>
      </c>
      <c r="AK38">
        <v>22</v>
      </c>
      <c r="AL38">
        <v>33</v>
      </c>
      <c r="AM38">
        <f>SUM(AK38:AL38)</f>
      </c>
      <c r="AN38">
        <f>LOOKUP(AM38,{0,40,45,50,55,60,65,70,75},{"F9","E8","D7","C6","C5","C4","B3","B2","A1"})</f>
      </c>
      <c r="AO38">
        <f>RANK(AM38,$AM$4:$AM$41,0)</f>
      </c>
      <c r="AP38">
        <f>SUM(D38,I38,N38,S38,X38,AC38,AH38,AM38)</f>
      </c>
      <c r="AQ38" s="2">
        <f>AVERAGE(D38,I38,N38,S38,X38,AC38,AH38,AM38)</f>
      </c>
      <c r="AR38">
        <f>RANK(AQ38,$AQ$4:$AQ$41,0)</f>
      </c>
      <c r="AS38">
        <v>451</v>
      </c>
      <c r="AT38" s="2">
        <v>56.4</v>
      </c>
      <c r="AU38">
        <v>19</v>
      </c>
      <c r="AV38">
        <f>IF(AND(AP38=AS38,ROUND(AQ38,1)=AT38,AR38=AU38),"✓","✗")</f>
      </c>
    </row>
    <row r="39">
      <c r="A39" t="s">
        <v>55</v>
      </c>
      <c r="B39">
        <v>25</v>
      </c>
      <c r="C39">
        <v>38</v>
      </c>
      <c r="D39">
        <f>SUM(B39:C39)</f>
      </c>
      <c r="E39">
        <f>LOOKUP(D39,{0,40,45,50,55,60,65,70,75},{"F9","E8","D7","C6","C5","C4","B3","B2","A1"})</f>
      </c>
      <c r="F39">
        <f>RANK(D39,$D$4:$D$41,0)</f>
      </c>
      <c r="G39">
        <v>17</v>
      </c>
      <c r="H39">
        <v>26</v>
      </c>
      <c r="I39">
        <f>SUM(G39:H39)</f>
      </c>
      <c r="J39">
        <f>LOOKUP(I39,{0,40,45,50,55,60,65,70,75},{"F9","E8","D7","C6","C5","C4","B3","B2","A1"})</f>
      </c>
      <c r="K39">
        <f>RANK(I39,$I$4:$I$41,0)</f>
      </c>
      <c r="L39">
        <v>22</v>
      </c>
      <c r="M39">
        <v>34</v>
      </c>
      <c r="N39">
        <f>SUM(L39:M39)</f>
      </c>
      <c r="O39">
        <f>LOOKUP(N39,{0,40,45,50,55,60,65,70,75},{"F9","E8","D7","C6","C5","C4","B3","B2","A1"})</f>
      </c>
      <c r="P39">
        <f>RANK(N39,$N$4:$N$41,0)</f>
      </c>
      <c r="Q39">
        <v>16</v>
      </c>
      <c r="R39">
        <v>25</v>
      </c>
      <c r="S39">
        <f>SUM(Q39:R39)</f>
      </c>
      <c r="T39">
        <f>LOOKUP(S39,{0,40,45,50,55,60,65,70,75},{"F9","E8","D7","C6","C5","C4","B3","B2","A1"})</f>
      </c>
      <c r="U39">
        <f>RANK(S39,$S$4:$S$41,0)</f>
      </c>
      <c r="V39">
        <v>23</v>
      </c>
      <c r="W39">
        <v>34</v>
      </c>
      <c r="X39">
        <f>SUM(V39:W39)</f>
      </c>
      <c r="Y39">
        <f>LOOKUP(X39,{0,40,45,50,55,60,65,70,75},{"F9","E8","D7","C6","C5","C4","B3","B2","A1"})</f>
      </c>
      <c r="Z39">
        <f>RANK(X39,$X$4:$X$41,0)</f>
      </c>
      <c r="AA39">
        <v>27</v>
      </c>
      <c r="AB39">
        <v>40</v>
      </c>
      <c r="AC39">
        <f>SUM(AA39:AB39)</f>
      </c>
      <c r="AD39">
        <f>LOOKUP(AC39,{0,40,45,50,55,60,65,70,75},{"F9","E8","D7","C6","C5","C4","B3","B2","A1"})</f>
      </c>
      <c r="AE39">
        <f>RANK(AC39,$AC$4:$AC$41,0)</f>
      </c>
      <c r="AF39">
        <v>21</v>
      </c>
      <c r="AG39">
        <v>32</v>
      </c>
      <c r="AH39">
        <f>SUM(AF39:AG39)</f>
      </c>
      <c r="AI39">
        <f>LOOKUP(AH39,{0,40,45,50,55,60,65,70,75},{"F9","E8","D7","C6","C5","C4","B3","B2","A1"})</f>
      </c>
      <c r="AJ39">
        <f>RANK(AH39,$AH$4:$AH$41,0)</f>
      </c>
      <c r="AK39">
        <v>26</v>
      </c>
      <c r="AL39">
        <v>38</v>
      </c>
      <c r="AM39">
        <f>SUM(AK39:AL39)</f>
      </c>
      <c r="AN39">
        <f>LOOKUP(AM39,{0,40,45,50,55,60,65,70,75},{"F9","E8","D7","C6","C5","C4","B3","B2","A1"})</f>
      </c>
      <c r="AO39">
        <f>RANK(AM39,$AM$4:$AM$41,0)</f>
      </c>
      <c r="AP39">
        <f>SUM(D39,I39,N39,S39,X39,AC39,AH39,AM39)</f>
      </c>
      <c r="AQ39" s="2">
        <f>AVERAGE(D39,I39,N39,S39,X39,AC39,AH39,AM39)</f>
      </c>
      <c r="AR39">
        <f>RANK(AQ39,$AQ$4:$AQ$41,0)</f>
      </c>
      <c r="AS39">
        <v>444</v>
      </c>
      <c r="AT39" s="2">
        <v>55.5</v>
      </c>
      <c r="AU39">
        <v>27</v>
      </c>
      <c r="AV39">
        <f>IF(AND(AP39=AS39,ROUND(AQ39,1)=AT39,AR39=AU39),"✓","✗")</f>
      </c>
    </row>
    <row r="40">
      <c r="A40" t="s">
        <v>56</v>
      </c>
      <c r="B40">
        <v>19</v>
      </c>
      <c r="C40">
        <v>29</v>
      </c>
      <c r="D40">
        <f>SUM(B40:C40)</f>
      </c>
      <c r="E40">
        <f>LOOKUP(D40,{0,40,45,50,55,60,65,70,75},{"F9","E8","D7","C6","C5","C4","B3","B2","A1"})</f>
      </c>
      <c r="F40">
        <f>RANK(D40,$D$4:$D$41,0)</f>
      </c>
      <c r="G40">
        <v>22</v>
      </c>
      <c r="H40">
        <v>32</v>
      </c>
      <c r="I40">
        <f>SUM(G40:H40)</f>
      </c>
      <c r="J40">
        <f>LOOKUP(I40,{0,40,45,50,55,60,65,70,75},{"F9","E8","D7","C6","C5","C4","B3","B2","A1"})</f>
      </c>
      <c r="K40">
        <f>RANK(I40,$I$4:$I$41,0)</f>
      </c>
      <c r="L40">
        <v>28</v>
      </c>
      <c r="M40">
        <v>41</v>
      </c>
      <c r="N40">
        <f>SUM(L40:M40)</f>
      </c>
      <c r="O40">
        <f>LOOKUP(N40,{0,40,45,50,55,60,65,70,75},{"F9","E8","D7","C6","C5","C4","B3","B2","A1"})</f>
      </c>
      <c r="P40">
        <f>RANK(N40,$N$4:$N$41,0)</f>
      </c>
      <c r="Q40">
        <v>21</v>
      </c>
      <c r="R40">
        <v>31</v>
      </c>
      <c r="S40">
        <f>SUM(Q40:R40)</f>
      </c>
      <c r="T40">
        <f>LOOKUP(S40,{0,40,45,50,55,60,65,70,75},{"F9","E8","D7","C6","C5","C4","B3","B2","A1"})</f>
      </c>
      <c r="U40">
        <f>RANK(S40,$S$4:$S$41,0)</f>
      </c>
      <c r="V40">
        <v>24</v>
      </c>
      <c r="W40">
        <v>37</v>
      </c>
      <c r="X40">
        <f>SUM(V40:W40)</f>
      </c>
      <c r="Y40">
        <f>LOOKUP(X40,{0,40,45,50,55,60,65,70,75},{"F9","E8","D7","C6","C5","C4","B3","B2","A1"})</f>
      </c>
      <c r="Z40">
        <f>RANK(X40,$X$4:$X$41,0)</f>
      </c>
      <c r="AA40">
        <v>26</v>
      </c>
      <c r="AB40">
        <v>38</v>
      </c>
      <c r="AC40">
        <f>SUM(AA40:AB40)</f>
      </c>
      <c r="AD40">
        <f>LOOKUP(AC40,{0,40,45,50,55,60,65,70,75},{"F9","E8","D7","C6","C5","C4","B3","B2","A1"})</f>
      </c>
      <c r="AE40">
        <f>RANK(AC40,$AC$4:$AC$41,0)</f>
      </c>
      <c r="AF40">
        <v>20</v>
      </c>
      <c r="AG40">
        <v>30</v>
      </c>
      <c r="AH40">
        <f>SUM(AF40:AG40)</f>
      </c>
      <c r="AI40">
        <f>LOOKUP(AH40,{0,40,45,50,55,60,65,70,75},{"F9","E8","D7","C6","C5","C4","B3","B2","A1"})</f>
      </c>
      <c r="AJ40">
        <f>RANK(AH40,$AH$4:$AH$41,0)</f>
      </c>
      <c r="AK40">
        <v>24</v>
      </c>
      <c r="AL40">
        <v>36</v>
      </c>
      <c r="AM40">
        <f>SUM(AK40:AL40)</f>
      </c>
      <c r="AN40">
        <f>LOOKUP(AM40,{0,40,45,50,55,60,65,70,75},{"F9","E8","D7","C6","C5","C4","B3","B2","A1"})</f>
      </c>
      <c r="AO40">
        <f>RANK(AM40,$AM$4:$AM$41,0)</f>
      </c>
      <c r="AP40">
        <f>SUM(D40,I40,N40,S40,X40,AC40,AH40,AM40)</f>
      </c>
      <c r="AQ40" s="2">
        <f>AVERAGE(D40,I40,N40,S40,X40,AC40,AH40,AM40)</f>
      </c>
      <c r="AR40">
        <f>RANK(AQ40,$AQ$4:$AQ$41,0)</f>
      </c>
      <c r="AS40">
        <v>458</v>
      </c>
      <c r="AT40" s="2">
        <v>57.3</v>
      </c>
      <c r="AU40">
        <v>18</v>
      </c>
      <c r="AV40">
        <f>IF(AND(AP40=AS40,ROUND(AQ40,1)=AT40,AR40=AU40),"✓","✗")</f>
      </c>
    </row>
    <row r="41">
      <c r="A41" t="s">
        <v>57</v>
      </c>
      <c r="B41">
        <v>23</v>
      </c>
      <c r="C41">
        <v>34</v>
      </c>
      <c r="D41">
        <f>SUM(B41:C41)</f>
      </c>
      <c r="E41">
        <f>LOOKUP(D41,{0,40,45,50,55,60,65,70,75},{"F9","E8","D7","C6","C5","C4","B3","B2","A1"})</f>
      </c>
      <c r="F41">
        <f>RANK(D41,$D$4:$D$41,0)</f>
      </c>
      <c r="G41">
        <v>20</v>
      </c>
      <c r="H41">
        <v>30</v>
      </c>
      <c r="I41">
        <f>SUM(G41:H41)</f>
      </c>
      <c r="J41">
        <f>LOOKUP(I41,{0,40,45,50,55,60,65,70,75},{"F9","E8","D7","C6","C5","C4","B3","B2","A1"})</f>
      </c>
      <c r="K41">
        <f>RANK(I41,$I$4:$I$41,0)</f>
      </c>
      <c r="L41">
        <v>20</v>
      </c>
      <c r="M41">
        <v>31</v>
      </c>
      <c r="N41">
        <f>SUM(L41:M41)</f>
      </c>
      <c r="O41">
        <f>LOOKUP(N41,{0,40,45,50,55,60,65,70,75},{"F9","E8","D7","C6","C5","C4","B3","B2","A1"})</f>
      </c>
      <c r="P41">
        <f>RANK(N41,$N$4:$N$41,0)</f>
      </c>
      <c r="Q41">
        <v>17</v>
      </c>
      <c r="R41">
        <v>26</v>
      </c>
      <c r="S41">
        <f>SUM(Q41:R41)</f>
      </c>
      <c r="T41">
        <f>LOOKUP(S41,{0,40,45,50,55,60,65,70,75},{"F9","E8","D7","C6","C5","C4","B3","B2","A1"})</f>
      </c>
      <c r="U41">
        <f>RANK(S41,$S$4:$S$41,0)</f>
      </c>
      <c r="V41">
        <v>22</v>
      </c>
      <c r="W41">
        <v>34</v>
      </c>
      <c r="X41">
        <f>SUM(V41:W41)</f>
      </c>
      <c r="Y41">
        <f>LOOKUP(X41,{0,40,45,50,55,60,65,70,75},{"F9","E8","D7","C6","C5","C4","B3","B2","A1"})</f>
      </c>
      <c r="Z41">
        <f>RANK(X41,$X$4:$X$41,0)</f>
      </c>
      <c r="AA41">
        <v>26</v>
      </c>
      <c r="AB41">
        <v>39</v>
      </c>
      <c r="AC41">
        <f>SUM(AA41:AB41)</f>
      </c>
      <c r="AD41">
        <f>LOOKUP(AC41,{0,40,45,50,55,60,65,70,75},{"F9","E8","D7","C6","C5","C4","B3","B2","A1"})</f>
      </c>
      <c r="AE41">
        <f>RANK(AC41,$AC$4:$AC$41,0)</f>
      </c>
      <c r="AF41">
        <v>24</v>
      </c>
      <c r="AG41">
        <v>35</v>
      </c>
      <c r="AH41">
        <f>SUM(AF41:AG41)</f>
      </c>
      <c r="AI41">
        <f>LOOKUP(AH41,{0,40,45,50,55,60,65,70,75},{"F9","E8","D7","C6","C5","C4","B3","B2","A1"})</f>
      </c>
      <c r="AJ41">
        <f>RANK(AH41,$AH$4:$AH$41,0)</f>
      </c>
      <c r="AK41">
        <v>26</v>
      </c>
      <c r="AL41">
        <v>38</v>
      </c>
      <c r="AM41">
        <f>SUM(AK41:AL41)</f>
      </c>
      <c r="AN41">
        <f>LOOKUP(AM41,{0,40,45,50,55,60,65,70,75},{"F9","E8","D7","C6","C5","C4","B3","B2","A1"})</f>
      </c>
      <c r="AO41">
        <f>RANK(AM41,$AM$4:$AM$41,0)</f>
      </c>
      <c r="AP41">
        <f>SUM(D41,I41,N41,S41,X41,AC41,AH41,AM41)</f>
      </c>
      <c r="AQ41" s="2">
        <f>AVERAGE(D41,I41,N41,S41,X41,AC41,AH41,AM41)</f>
      </c>
      <c r="AR41">
        <f>RANK(AQ41,$AQ$4:$AQ$41,0)</f>
      </c>
      <c r="AS41">
        <v>445</v>
      </c>
      <c r="AT41" s="2">
        <v>55.6</v>
      </c>
      <c r="AU41">
        <v>25</v>
      </c>
      <c r="AV41">
        <f>IF(AND(AP41=AS41,ROUND(AQ41,1)=AT41,AR41=AU41),"✓","✗")</f>
      </c>
    </row>
    <row r="42"/>
    <row r="43">
      <c r="A43" s="1" t="s">
        <v>58</v>
      </c>
      <c r="D43">
        <f>ROUND(AVERAGE(D4:D41),1)</f>
      </c>
      <c r="I43">
        <f>ROUND(AVERAGE(I4:I41),1)</f>
      </c>
      <c r="N43">
        <f>ROUND(AVERAGE(N4:N41),1)</f>
      </c>
      <c r="S43">
        <f>ROUND(AVERAGE(S4:S41),1)</f>
      </c>
      <c r="X43">
        <f>ROUND(AVERAGE(X4:X41),1)</f>
      </c>
      <c r="AC43">
        <f>ROUND(AVERAGE(AC4:AC41),1)</f>
      </c>
      <c r="AH43">
        <f>ROUND(AVERAGE(AH4:AH41),1)</f>
      </c>
      <c r="AM43">
        <f>ROUND(AVERAGE(AM4:AM41),1)</f>
      </c>
    </row>
    <row r="44">
      <c r="A44" s="1" t="s">
        <v>59</v>
      </c>
      <c r="D44">
        <f>MAX(D4:D41)</f>
      </c>
      <c r="I44">
        <f>MAX(I4:I41)</f>
      </c>
      <c r="N44">
        <f>MAX(N4:N41)</f>
      </c>
      <c r="S44">
        <f>MAX(S4:S41)</f>
      </c>
      <c r="X44">
        <f>MAX(X4:X41)</f>
      </c>
      <c r="AC44">
        <f>MAX(AC4:AC41)</f>
      </c>
      <c r="AH44">
        <f>MAX(AH4:AH41)</f>
      </c>
      <c r="AM44">
        <f>MAX(AM4:AM41)</f>
      </c>
    </row>
    <row r="45">
      <c r="A45" s="1" t="s">
        <v>60</v>
      </c>
      <c r="D45">
        <f>MIN(D4:D41)</f>
      </c>
      <c r="I45">
        <f>MIN(I4:I41)</f>
      </c>
      <c r="N45">
        <f>MIN(N4:N41)</f>
      </c>
      <c r="S45">
        <f>MIN(S4:S41)</f>
      </c>
      <c r="X45">
        <f>MIN(X4:X41)</f>
      </c>
      <c r="AC45">
        <f>MIN(AC4:AC41)</f>
      </c>
      <c r="AH45">
        <f>MIN(AH4:AH41)</f>
      </c>
      <c r="AM45">
        <f>MIN(AM4:AM41)</f>
      </c>
    </row>
  </sheetData>
  <mergeCells count="11">
    <mergeCell ref="A1:AV1"/>
    <mergeCell ref="B2:F2"/>
    <mergeCell ref="G2:K2"/>
    <mergeCell ref="L2:P2"/>
    <mergeCell ref="Q2:U2"/>
    <mergeCell ref="V2:Z2"/>
    <mergeCell ref="AA2:AE2"/>
    <mergeCell ref="AF2:AJ2"/>
    <mergeCell ref="AK2:AO2"/>
    <mergeCell ref="AP2:AR2"/>
    <mergeCell ref="AS2:AU2"/>
  </mergeCells>
</worksheet>
</file>